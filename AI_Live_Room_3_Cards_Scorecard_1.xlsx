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6380" windowHeight="8196" tabRatio="500"/>
  </bookViews>
  <sheets>
    <sheet name="Complexity Card" sheetId="1" r:id="rId1"/>
    <sheet name="Feasibility Card" sheetId="2" r:id="rId2"/>
    <sheet name="Savings Card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3" l="1"/>
  <c r="I26" i="3" s="1"/>
  <c r="G26" i="3"/>
  <c r="B26" i="3"/>
  <c r="H25" i="3"/>
  <c r="I25" i="3" s="1"/>
  <c r="G25" i="3"/>
  <c r="B25" i="3"/>
  <c r="H24" i="3"/>
  <c r="I24" i="3" s="1"/>
  <c r="G24" i="3"/>
  <c r="B24" i="3"/>
  <c r="H23" i="3"/>
  <c r="I23" i="3" s="1"/>
  <c r="G23" i="3"/>
  <c r="B23" i="3"/>
  <c r="H22" i="3"/>
  <c r="I22" i="3" s="1"/>
  <c r="G22" i="3"/>
  <c r="B22" i="3"/>
  <c r="H21" i="3"/>
  <c r="I21" i="3" s="1"/>
  <c r="G21" i="3"/>
  <c r="B21" i="3"/>
  <c r="H20" i="3"/>
  <c r="I20" i="3" s="1"/>
  <c r="G20" i="3"/>
  <c r="B20" i="3"/>
  <c r="H19" i="3"/>
  <c r="I19" i="3" s="1"/>
  <c r="G19" i="3"/>
  <c r="B19" i="3"/>
  <c r="H18" i="3"/>
  <c r="I18" i="3" s="1"/>
  <c r="G18" i="3"/>
  <c r="B18" i="3"/>
  <c r="H17" i="3"/>
  <c r="I17" i="3" s="1"/>
  <c r="G17" i="3"/>
  <c r="B17" i="3"/>
  <c r="H16" i="3"/>
  <c r="I16" i="3" s="1"/>
  <c r="G16" i="3"/>
  <c r="B16" i="3"/>
  <c r="H15" i="3"/>
  <c r="I15" i="3" s="1"/>
  <c r="G15" i="3"/>
  <c r="B15" i="3"/>
  <c r="G26" i="2"/>
  <c r="B26" i="2"/>
  <c r="G25" i="2"/>
  <c r="B25" i="2"/>
  <c r="G24" i="2"/>
  <c r="B24" i="2"/>
  <c r="G23" i="2"/>
  <c r="B23" i="2"/>
  <c r="G22" i="2"/>
  <c r="B22" i="2"/>
  <c r="G21" i="2"/>
  <c r="B21" i="2"/>
  <c r="G20" i="2"/>
  <c r="B20" i="2"/>
  <c r="G19" i="2"/>
  <c r="B19" i="2"/>
  <c r="G18" i="2"/>
  <c r="B18" i="2"/>
  <c r="G17" i="2"/>
  <c r="B17" i="2"/>
  <c r="G16" i="2"/>
  <c r="B16" i="2"/>
  <c r="G15" i="2"/>
  <c r="B15" i="2"/>
  <c r="G26" i="1"/>
  <c r="G25" i="1"/>
  <c r="G24" i="1"/>
  <c r="G23" i="1"/>
  <c r="G22" i="1"/>
  <c r="G21" i="1"/>
  <c r="G20" i="1"/>
  <c r="G19" i="1"/>
  <c r="G18" i="1"/>
  <c r="G17" i="1"/>
  <c r="G16" i="1"/>
  <c r="G15" i="1"/>
</calcChain>
</file>

<file path=xl/sharedStrings.xml><?xml version="1.0" encoding="utf-8"?>
<sst xmlns="http://schemas.openxmlformats.org/spreadsheetml/2006/main" count="65" uniqueCount="59">
  <si>
    <t>COMPLEXITY CARD  —  how hard &amp; risky is it?</t>
  </si>
  <si>
    <t>How to fill: read each factor's questions, then score it 1 to 5 (min 1, max 5). HIGHER complexity = harder and riskier, which LOWERS the final use case score. One row per use case.</t>
  </si>
  <si>
    <t>BEFORE YOU SCORE  —  read the questions, picture the use case, then score each factor 1 to 5  (minimum 1, maximum 5)</t>
  </si>
  <si>
    <t>1.  Process / operational complexity        1 = simple, few steps      │      5 = many steps, exceptions, hand-offs</t>
  </si>
  <si>
    <t>Ask yourself:    • How many steps, systems and hand-offs end to end?      • Many exceptions / edge cases, or mostly standard?      • Does it span several teams, regions or time zones?      • Does the underlying process change often?</t>
  </si>
  <si>
    <t>2.  Compliance / regulatory sensitivity        1 = no regulatory impact      │      5 = heavily regulated, needs sign-off</t>
  </si>
  <si>
    <t>Ask yourself:    • Does it touch regulated activity (instructions, settlement, reporting, KYC/AML)?      • Would risk, audit or a regulator need to review or sign off?      • Must controls (four-eyes, segregation, audit trail) be preserved and proven?      • Is client / PII or cross-border data involved?</t>
  </si>
  <si>
    <t>3.  Delivery / change risk        1 = small, low-risk, reversible      │      5 = core change, wide blast radius</t>
  </si>
  <si>
    <t>Ask yourself:    • Is this a small add-on or a core-system change?      • Blast radius if it fails — one team or settlement-wide?      • Are there limited release windows / heavy testing needs?      • How easily can we roll it back?</t>
  </si>
  <si>
    <t>4.  Integration complexity (systems touched)        1 = one system, modern APIs      │      5 = many systems, legacy, vendors</t>
  </si>
  <si>
    <t>Ask yourself:    • How many systems connect — and are interfaces APIs or legacy/manual?      • Do we own them, or depend on vendors / external parties?      • Is reference / master data needed from several sources?      • Any real-time or cut-off timing constraints?</t>
  </si>
  <si>
    <t>#</t>
  </si>
  <si>
    <t>Use Case</t>
  </si>
  <si>
    <t>Process /
operational</t>
  </si>
  <si>
    <t>Compliance /
regulatory</t>
  </si>
  <si>
    <t>Delivery /
change risk</t>
  </si>
  <si>
    <t>Integration
complexity</t>
  </si>
  <si>
    <t>Complexity
score (avg)</t>
  </si>
  <si>
    <t>FEASIBILITY CARD  —  how easy is it to build?</t>
  </si>
  <si>
    <t>How to fill: read each factor's questions, then score it 1 to 5 (min 1, max 5). HIGHER feasibility = easier and more ready, which RAISES the final use case score. For 'Build effort', 5 = LOW effort.</t>
  </si>
  <si>
    <t>1.  Technical fit / maturity        1 = unproven, experimental      │      5 = proven, mature, in-house</t>
  </si>
  <si>
    <t>Ask yourself:    • Is the technology proven for this kind of problem?      • Do we already use it successfully elsewhere?      • Are reference patterns / vendor support available?      • Does it fit our approved architecture and standards?</t>
  </si>
  <si>
    <t>2.  Data readiness &amp; quality        1 = poor / unavailable      │      5 = clean, complete, accessible</t>
  </si>
  <si>
    <t>Ask yourself:    • Is the data needed available, complete and accessible?      • How clean / structured is it (vs free text, scans, handwriting)?      • Is reference / master data (clients, accounts, SSIs) reliable?      • Any data-access or privacy approvals required?</t>
  </si>
  <si>
    <t>3.  Skills &amp; tooling available        1 = not available today      │      5 = fully available in-house</t>
  </si>
  <si>
    <t>Ask yourself:    • Do we have the skills in-house (or a ready partner)?      • Are the tools / platforms already licensed and available?      • Is there a safe environment to build and test?      • Will we need major upskilling or hiring?</t>
  </si>
  <si>
    <t>4.  Build effort  (5 = low effort)        1 = very large effort      │      5 = very small effort</t>
  </si>
  <si>
    <t>Ask yourself:    • First working version in days, weeks or months?      • Config / low-code change, or heavy custom build?      • How much integration and testing is involved?      • Will other-team dependencies slow it down?</t>
  </si>
  <si>
    <t>Technical
fit</t>
  </si>
  <si>
    <t>Data
readiness</t>
  </si>
  <si>
    <t>Skills &amp;
tooling</t>
  </si>
  <si>
    <t>Build effort
(5=low)</t>
  </si>
  <si>
    <t>Feasibility
score (avg)</t>
  </si>
  <si>
    <t>SAVINGS CARD  —  what is the prize?</t>
  </si>
  <si>
    <t>How to fill: read each factor's questions, then score it 1 to 5 (min 1, max 5). HIGHER savings = bigger benefit, which RAISES the final use case score. Use Notes to record real numbers (FTE, hours, ROI %).</t>
  </si>
  <si>
    <t>1.  FTE / effort saved        1 = negligible saving      │      5 = very high saving</t>
  </si>
  <si>
    <t>Ask yourself:    • People-hours per day / week / month spent today?      • How much could realistically be removed or automated?      • Does it free people for higher-value work or cut peak crunch?      • Does the saving grow with volume?</t>
  </si>
  <si>
    <t>2.  Time / cycle-time saved        1 = negligible saving      │      5 = very high saving</t>
  </si>
  <si>
    <t>Ask yourself:    • How much faster does the task / turnaround become?      • Does it remove waiting, hand-offs or rekeying?      • Does it help meet cut-offs / SLAs and avoid late processing?      • Is the time saved frequent and repeatable?</t>
  </si>
  <si>
    <t>3.  Error / risk reduction        1 = negligible reduction      │      5 = very high reduction</t>
  </si>
  <si>
    <t>Ask yourself:    • How often do errors, breaks or incidents happen today?      • What do they cost — rework, client impact, loss, regulatory exposure?      • Does it add validation, consistency and a clean audit trail?      • Does it reduce key-person or manual-handling risk?</t>
  </si>
  <si>
    <t>4.  Financial return (ROI)        1 = negligible / unclear return      │      5 = very high return</t>
  </si>
  <si>
    <t>Ask yourself:    • Rough annual benefit (effort saved, losses avoided, capacity released)?      • How does that compare to the build and run cost?      • How quickly would it pay back?      • Any softer benefits (client experience, risk posture, morale)?</t>
  </si>
  <si>
    <t>FTE /
effort</t>
  </si>
  <si>
    <t>Time /
cycle</t>
  </si>
  <si>
    <t>Error / risk
reduction</t>
  </si>
  <si>
    <t>Financial
return (ROI)</t>
  </si>
  <si>
    <t>Savings
score (avg)</t>
  </si>
  <si>
    <t>USE CASE
SCORE (0-100)</t>
  </si>
  <si>
    <t>PRIORITY</t>
  </si>
  <si>
    <t>Notes (real numbers)</t>
  </si>
  <si>
    <t>HOW THE USE CASE SCORE WORKS</t>
  </si>
  <si>
    <t>Use Case Score (0–100) = 40% × Savings  +  30% × Feasibility  +  30% × (inverse) Complexity.  High savings, high feasibility and LOW complexity push the score up.</t>
  </si>
  <si>
    <t>High</t>
  </si>
  <si>
    <t>Score 80–100  ·  do first — strong candidate for the backlog</t>
  </si>
  <si>
    <t>Medium</t>
  </si>
  <si>
    <t>Score 50–79  ·  worth doing — sequence after the quick wins</t>
  </si>
  <si>
    <t>Low</t>
  </si>
  <si>
    <t>Score below 50  ·  revisit, reshape or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</si>
</sst>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sz val="10"/>
      <color rgb="FF3A4843"/>
      <name val="Calibri"/>
      <charset val="1"/>
    </font>
    <font>
      <b/>
      <sz val="10.5"/>
      <color rgb="FF00915A"/>
      <name val="Calibri"/>
      <charset val="1"/>
    </font>
    <font>
      <b/>
      <sz val="10.5"/>
      <color rgb="FF00633F"/>
      <name val="Calibri"/>
      <charset val="1"/>
    </font>
    <font>
      <sz val="9.5"/>
      <color rgb="FF1E2A24"/>
      <name val="Calibri"/>
      <charset val="1"/>
    </font>
    <font>
      <b/>
      <sz val="9.5"/>
      <color rgb="FFFFFFFF"/>
      <name val="Calibri"/>
      <charset val="1"/>
    </font>
    <font>
      <sz val="10"/>
      <name val="Calibri"/>
      <charset val="1"/>
    </font>
    <font>
      <sz val="10"/>
      <color rgb="FF0000CC"/>
      <name val="Calibri"/>
      <charset val="1"/>
    </font>
    <font>
      <sz val="10"/>
      <color rgb="FF555555"/>
      <name val="Calibri"/>
      <charset val="1"/>
    </font>
    <font>
      <b/>
      <sz val="12"/>
      <color rgb="FF1E2A24"/>
      <name val="Calibri"/>
      <charset val="1"/>
    </font>
    <font>
      <b/>
      <sz val="11"/>
      <color rgb="FF1E2A24"/>
      <name val="Calibri"/>
      <charset val="1"/>
    </font>
    <font>
      <sz val="9.5"/>
      <color rgb="FF555555"/>
      <name val="Calibri"/>
      <charset val="1"/>
    </font>
    <font>
      <b/>
      <sz val="10"/>
      <color rgb="FF00633F"/>
      <name val="Calibri"/>
      <charset val="1"/>
    </font>
    <font>
      <sz val="10"/>
      <color rgb="FF1E2A24"/>
      <name val="Calibri"/>
      <charset val="1"/>
    </font>
    <font>
      <b/>
      <sz val="10"/>
      <color rgb="FF7A5B00"/>
      <name val="Calibri"/>
      <charset val="1"/>
    </font>
    <font>
      <b/>
      <sz val="10"/>
      <color rgb="FF444444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00633F"/>
        <bgColor rgb="FF008080"/>
      </patternFill>
    </fill>
    <fill>
      <patternFill patternType="solid">
        <fgColor rgb="FFE9F5EF"/>
        <bgColor rgb="FFEEF6F1"/>
      </patternFill>
    </fill>
    <fill>
      <patternFill patternType="solid">
        <fgColor rgb="FFD7ECE2"/>
        <bgColor rgb="FFD9DEDC"/>
      </patternFill>
    </fill>
    <fill>
      <patternFill patternType="solid">
        <fgColor rgb="FFEEF6F1"/>
        <bgColor rgb="FFE9F5EF"/>
      </patternFill>
    </fill>
    <fill>
      <patternFill patternType="solid">
        <fgColor rgb="FF00915A"/>
        <bgColor rgb="FF008080"/>
      </patternFill>
    </fill>
    <fill>
      <patternFill patternType="solid">
        <fgColor rgb="FFFFF6D6"/>
        <bgColor rgb="FFF3F5F4"/>
      </patternFill>
    </fill>
    <fill>
      <patternFill patternType="solid">
        <fgColor rgb="FFF3F5F4"/>
        <bgColor rgb="FFEEF6F1"/>
      </patternFill>
    </fill>
    <fill>
      <patternFill patternType="solid">
        <fgColor rgb="FFFFFFFF"/>
        <bgColor rgb="FFF3F5F4"/>
      </patternFill>
    </fill>
    <fill>
      <patternFill patternType="solid">
        <fgColor rgb="FFA9DCC3"/>
        <bgColor rgb="FFC8D5CE"/>
      </patternFill>
    </fill>
    <fill>
      <patternFill patternType="solid">
        <fgColor rgb="FFFFE08A"/>
        <bgColor rgb="FFFFF6D6"/>
      </patternFill>
    </fill>
    <fill>
      <patternFill patternType="solid">
        <fgColor rgb="FFD9DEDC"/>
        <bgColor rgb="FFD7ECE2"/>
      </patternFill>
    </fill>
  </fills>
  <borders count="3">
    <border>
      <left/>
      <right/>
      <top/>
      <bottom/>
      <diagonal/>
    </border>
    <border>
      <left style="thin">
        <color rgb="FFC8D5CE"/>
      </left>
      <right style="thin">
        <color rgb="FFC8D5CE"/>
      </right>
      <top style="thin">
        <color rgb="FFC8D5CE"/>
      </top>
      <bottom style="thin">
        <color rgb="FFC8D5CE"/>
      </bottom>
      <diagonal/>
    </border>
    <border>
      <left style="thin">
        <color rgb="FFC8D5CE"/>
      </left>
      <right/>
      <top style="thin">
        <color rgb="FFC8D5CE"/>
      </top>
      <bottom style="thin">
        <color rgb="FFC8D5C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4" fillId="0" borderId="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7" borderId="1" xfId="0" applyFont="1" applyFill="1" applyBorder="1"/>
    <xf numFmtId="0" fontId="8" fillId="7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9" fillId="8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9" borderId="1" xfId="0" applyFont="1" applyFill="1" applyBorder="1"/>
    <xf numFmtId="0" fontId="13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444444"/>
        <name val="Calibri"/>
      </font>
      <fill>
        <patternFill>
          <bgColor rgb="FFD9DEDC"/>
        </patternFill>
      </fill>
    </dxf>
    <dxf>
      <font>
        <b/>
        <color rgb="FF7A5B00"/>
        <name val="Calibri"/>
      </font>
      <fill>
        <patternFill>
          <bgColor rgb="FFFFE08A"/>
        </patternFill>
      </fill>
    </dxf>
    <dxf>
      <font>
        <b/>
        <color rgb="FF00633F"/>
        <name val="Calibri"/>
      </font>
      <fill>
        <patternFill>
          <bgColor rgb="FFA9DCC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33F"/>
      <rgbColor rgb="FF000080"/>
      <rgbColor rgb="FF7A5B00"/>
      <rgbColor rgb="FF800080"/>
      <rgbColor rgb="FF00915A"/>
      <rgbColor rgb="FFC8D5CE"/>
      <rgbColor rgb="FF808080"/>
      <rgbColor rgb="FF9999FF"/>
      <rgbColor rgb="FF993366"/>
      <rgbColor rgb="FFFFF6D6"/>
      <rgbColor rgb="FFE9F5EF"/>
      <rgbColor rgb="FF660066"/>
      <rgbColor rgb="FFFF8080"/>
      <rgbColor rgb="FF0066CC"/>
      <rgbColor rgb="FFD9DE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6F1"/>
      <rgbColor rgb="FFD7ECE2"/>
      <rgbColor rgb="FFF3F5F4"/>
      <rgbColor rgb="FFA9DCC3"/>
      <rgbColor rgb="FFFF99CC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444444"/>
      <rgbColor rgb="FF993300"/>
      <rgbColor rgb="FF993366"/>
      <rgbColor rgb="FF3A4843"/>
      <rgbColor rgb="FF1E2A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showGridLines="0" tabSelected="1" zoomScaleNormal="100" workbookViewId="0">
      <selection sqref="A1:G1"/>
    </sheetView>
  </sheetViews>
  <sheetFormatPr defaultColWidth="8.6640625" defaultRowHeight="14.4" x14ac:dyDescent="0.3"/>
  <cols>
    <col min="1" max="1" width="4" customWidth="1"/>
    <col min="2" max="2" width="30" customWidth="1"/>
    <col min="3" max="6" width="15" customWidth="1"/>
    <col min="7" max="7" width="14" customWidth="1"/>
  </cols>
  <sheetData>
    <row r="1" spans="1:7" ht="27.75" customHeight="1" x14ac:dyDescent="0.3">
      <c r="A1" s="7" t="s">
        <v>0</v>
      </c>
      <c r="B1" s="7"/>
      <c r="C1" s="7"/>
      <c r="D1" s="7"/>
      <c r="E1" s="7"/>
      <c r="F1" s="7"/>
      <c r="G1" s="7"/>
    </row>
    <row r="2" spans="1:7" ht="39.75" customHeight="1" x14ac:dyDescent="0.3">
      <c r="A2" s="6" t="s">
        <v>1</v>
      </c>
      <c r="B2" s="6"/>
      <c r="C2" s="6"/>
      <c r="D2" s="6"/>
      <c r="E2" s="6"/>
      <c r="F2" s="6"/>
      <c r="G2" s="6"/>
    </row>
    <row r="4" spans="1:7" ht="18" customHeight="1" x14ac:dyDescent="0.3">
      <c r="A4" s="5" t="s">
        <v>2</v>
      </c>
      <c r="B4" s="5"/>
      <c r="C4" s="5"/>
      <c r="D4" s="5"/>
      <c r="E4" s="5"/>
      <c r="F4" s="5"/>
      <c r="G4" s="5"/>
    </row>
    <row r="5" spans="1:7" ht="18" customHeight="1" x14ac:dyDescent="0.3">
      <c r="A5" s="4" t="s">
        <v>3</v>
      </c>
      <c r="B5" s="4"/>
      <c r="C5" s="4"/>
      <c r="D5" s="4"/>
      <c r="E5" s="4"/>
      <c r="F5" s="4"/>
      <c r="G5" s="4"/>
    </row>
    <row r="6" spans="1:7" ht="45.75" customHeight="1" x14ac:dyDescent="0.3">
      <c r="A6" s="3" t="s">
        <v>4</v>
      </c>
      <c r="B6" s="3"/>
      <c r="C6" s="3"/>
      <c r="D6" s="3"/>
      <c r="E6" s="3"/>
      <c r="F6" s="3"/>
      <c r="G6" s="3"/>
    </row>
    <row r="7" spans="1:7" ht="18" customHeight="1" x14ac:dyDescent="0.3">
      <c r="A7" s="4" t="s">
        <v>5</v>
      </c>
      <c r="B7" s="4"/>
      <c r="C7" s="4"/>
      <c r="D7" s="4"/>
      <c r="E7" s="4"/>
      <c r="F7" s="4"/>
      <c r="G7" s="4"/>
    </row>
    <row r="8" spans="1:7" ht="45.75" customHeight="1" x14ac:dyDescent="0.3">
      <c r="A8" s="3" t="s">
        <v>6</v>
      </c>
      <c r="B8" s="3"/>
      <c r="C8" s="3"/>
      <c r="D8" s="3"/>
      <c r="E8" s="3"/>
      <c r="F8" s="3"/>
      <c r="G8" s="3"/>
    </row>
    <row r="9" spans="1:7" ht="18" customHeight="1" x14ac:dyDescent="0.3">
      <c r="A9" s="4" t="s">
        <v>7</v>
      </c>
      <c r="B9" s="4"/>
      <c r="C9" s="4"/>
      <c r="D9" s="4"/>
      <c r="E9" s="4"/>
      <c r="F9" s="4"/>
      <c r="G9" s="4"/>
    </row>
    <row r="10" spans="1:7" ht="45.75" customHeight="1" x14ac:dyDescent="0.3">
      <c r="A10" s="3" t="s">
        <v>8</v>
      </c>
      <c r="B10" s="3"/>
      <c r="C10" s="3"/>
      <c r="D10" s="3"/>
      <c r="E10" s="3"/>
      <c r="F10" s="3"/>
      <c r="G10" s="3"/>
    </row>
    <row r="11" spans="1:7" ht="18" customHeight="1" x14ac:dyDescent="0.3">
      <c r="A11" s="4" t="s">
        <v>9</v>
      </c>
      <c r="B11" s="4"/>
      <c r="C11" s="4"/>
      <c r="D11" s="4"/>
      <c r="E11" s="4"/>
      <c r="F11" s="4"/>
      <c r="G11" s="4"/>
    </row>
    <row r="12" spans="1:7" ht="45.75" customHeight="1" x14ac:dyDescent="0.3">
      <c r="A12" s="3" t="s">
        <v>10</v>
      </c>
      <c r="B12" s="3"/>
      <c r="C12" s="3"/>
      <c r="D12" s="3"/>
      <c r="E12" s="3"/>
      <c r="F12" s="3"/>
      <c r="G12" s="3"/>
    </row>
    <row r="14" spans="1:7" ht="30" customHeight="1" x14ac:dyDescent="0.3">
      <c r="A14" s="8" t="s">
        <v>11</v>
      </c>
      <c r="B14" s="8" t="s">
        <v>12</v>
      </c>
      <c r="C14" s="8" t="s">
        <v>13</v>
      </c>
      <c r="D14" s="8" t="s">
        <v>14</v>
      </c>
      <c r="E14" s="8" t="s">
        <v>15</v>
      </c>
      <c r="F14" s="8" t="s">
        <v>16</v>
      </c>
      <c r="G14" s="8" t="s">
        <v>17</v>
      </c>
    </row>
    <row r="15" spans="1:7" x14ac:dyDescent="0.3">
      <c r="A15" s="9">
        <v>1</v>
      </c>
      <c r="B15" s="10"/>
      <c r="C15" s="11"/>
      <c r="D15" s="11"/>
      <c r="E15" s="11"/>
      <c r="F15" s="11"/>
      <c r="G15" s="12" t="str">
        <f t="shared" ref="G15:G26" si="0">IFERROR(ROUND(AVERAGE(C15:F15),1),"")</f>
        <v/>
      </c>
    </row>
    <row r="16" spans="1:7" x14ac:dyDescent="0.3">
      <c r="A16" s="9">
        <v>2</v>
      </c>
      <c r="B16" s="10"/>
      <c r="C16" s="11"/>
      <c r="D16" s="11"/>
      <c r="E16" s="11"/>
      <c r="F16" s="11"/>
      <c r="G16" s="12" t="str">
        <f t="shared" si="0"/>
        <v/>
      </c>
    </row>
    <row r="17" spans="1:7" x14ac:dyDescent="0.3">
      <c r="A17" s="9">
        <v>3</v>
      </c>
      <c r="B17" s="10"/>
      <c r="C17" s="11"/>
      <c r="D17" s="11"/>
      <c r="E17" s="11"/>
      <c r="F17" s="11"/>
      <c r="G17" s="12" t="str">
        <f t="shared" si="0"/>
        <v/>
      </c>
    </row>
    <row r="18" spans="1:7" x14ac:dyDescent="0.3">
      <c r="A18" s="9">
        <v>4</v>
      </c>
      <c r="B18" s="10"/>
      <c r="C18" s="11"/>
      <c r="D18" s="11"/>
      <c r="E18" s="11"/>
      <c r="F18" s="11"/>
      <c r="G18" s="12" t="str">
        <f t="shared" si="0"/>
        <v/>
      </c>
    </row>
    <row r="19" spans="1:7" x14ac:dyDescent="0.3">
      <c r="A19" s="9">
        <v>5</v>
      </c>
      <c r="B19" s="10"/>
      <c r="C19" s="11"/>
      <c r="D19" s="11"/>
      <c r="E19" s="11"/>
      <c r="F19" s="11"/>
      <c r="G19" s="12" t="str">
        <f t="shared" si="0"/>
        <v/>
      </c>
    </row>
    <row r="20" spans="1:7" x14ac:dyDescent="0.3">
      <c r="A20" s="9">
        <v>6</v>
      </c>
      <c r="B20" s="10"/>
      <c r="C20" s="11"/>
      <c r="D20" s="11"/>
      <c r="E20" s="11"/>
      <c r="F20" s="11"/>
      <c r="G20" s="12" t="str">
        <f t="shared" si="0"/>
        <v/>
      </c>
    </row>
    <row r="21" spans="1:7" x14ac:dyDescent="0.3">
      <c r="A21" s="9">
        <v>7</v>
      </c>
      <c r="B21" s="10"/>
      <c r="C21" s="11"/>
      <c r="D21" s="11"/>
      <c r="E21" s="11"/>
      <c r="F21" s="11"/>
      <c r="G21" s="12" t="str">
        <f t="shared" si="0"/>
        <v/>
      </c>
    </row>
    <row r="22" spans="1:7" x14ac:dyDescent="0.3">
      <c r="A22" s="9">
        <v>8</v>
      </c>
      <c r="B22" s="10"/>
      <c r="C22" s="11"/>
      <c r="D22" s="11"/>
      <c r="E22" s="11"/>
      <c r="F22" s="11"/>
      <c r="G22" s="12" t="str">
        <f t="shared" si="0"/>
        <v/>
      </c>
    </row>
    <row r="23" spans="1:7" x14ac:dyDescent="0.3">
      <c r="A23" s="9">
        <v>9</v>
      </c>
      <c r="B23" s="10"/>
      <c r="C23" s="11"/>
      <c r="D23" s="11"/>
      <c r="E23" s="11"/>
      <c r="F23" s="11"/>
      <c r="G23" s="12" t="str">
        <f t="shared" si="0"/>
        <v/>
      </c>
    </row>
    <row r="24" spans="1:7" x14ac:dyDescent="0.3">
      <c r="A24" s="9">
        <v>10</v>
      </c>
      <c r="B24" s="10"/>
      <c r="C24" s="11"/>
      <c r="D24" s="11"/>
      <c r="E24" s="11"/>
      <c r="F24" s="11"/>
      <c r="G24" s="12" t="str">
        <f t="shared" si="0"/>
        <v/>
      </c>
    </row>
    <row r="25" spans="1:7" x14ac:dyDescent="0.3">
      <c r="A25" s="9">
        <v>11</v>
      </c>
      <c r="B25" s="10"/>
      <c r="C25" s="11"/>
      <c r="D25" s="11"/>
      <c r="E25" s="11"/>
      <c r="F25" s="11"/>
      <c r="G25" s="12" t="str">
        <f t="shared" si="0"/>
        <v/>
      </c>
    </row>
    <row r="26" spans="1:7" x14ac:dyDescent="0.3">
      <c r="A26" s="9">
        <v>12</v>
      </c>
      <c r="B26" s="10"/>
      <c r="C26" s="11"/>
      <c r="D26" s="11"/>
      <c r="E26" s="11"/>
      <c r="F26" s="11"/>
      <c r="G26" s="12" t="str">
        <f t="shared" si="0"/>
        <v/>
      </c>
    </row>
  </sheetData>
  <mergeCells count="11">
    <mergeCell ref="A12:G12"/>
    <mergeCell ref="A7:G7"/>
    <mergeCell ref="A8:G8"/>
    <mergeCell ref="A9:G9"/>
    <mergeCell ref="A10:G10"/>
    <mergeCell ref="A11:G11"/>
    <mergeCell ref="A1:G1"/>
    <mergeCell ref="A2:G2"/>
    <mergeCell ref="A4:G4"/>
    <mergeCell ref="A5:G5"/>
    <mergeCell ref="A6:G6"/>
  </mergeCells>
  <dataValidations count="1">
    <dataValidation type="whole" allowBlank="1" errorTitle="Score 1–5" error="Enter a whole number from 1 to 5" sqref="C15:F26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showGridLines="0" topLeftCell="A16" zoomScaleNormal="100" workbookViewId="0">
      <selection sqref="A1:F1"/>
    </sheetView>
  </sheetViews>
  <sheetFormatPr defaultColWidth="8.6640625" defaultRowHeight="14.4" x14ac:dyDescent="0.3"/>
  <cols>
    <col min="1" max="1" width="4" customWidth="1"/>
    <col min="2" max="2" width="30" customWidth="1"/>
    <col min="3" max="6" width="15" customWidth="1"/>
    <col min="7" max="7" width="14" customWidth="1"/>
  </cols>
  <sheetData>
    <row r="1" spans="1:7" ht="27.75" customHeight="1" x14ac:dyDescent="0.3">
      <c r="A1" s="7" t="s">
        <v>18</v>
      </c>
      <c r="B1" s="7"/>
      <c r="C1" s="7"/>
      <c r="D1" s="7"/>
      <c r="E1" s="7"/>
      <c r="F1" s="7"/>
    </row>
    <row r="2" spans="1:7" ht="39.75" customHeight="1" x14ac:dyDescent="0.3">
      <c r="A2" s="6" t="s">
        <v>19</v>
      </c>
      <c r="B2" s="6"/>
      <c r="C2" s="6"/>
      <c r="D2" s="6"/>
      <c r="E2" s="6"/>
      <c r="F2" s="6"/>
    </row>
    <row r="4" spans="1:7" ht="18" customHeight="1" x14ac:dyDescent="0.3">
      <c r="A4" s="5" t="s">
        <v>2</v>
      </c>
      <c r="B4" s="5"/>
      <c r="C4" s="5"/>
      <c r="D4" s="5"/>
      <c r="E4" s="5"/>
      <c r="F4" s="5"/>
    </row>
    <row r="5" spans="1:7" ht="18" customHeight="1" x14ac:dyDescent="0.3">
      <c r="A5" s="4" t="s">
        <v>20</v>
      </c>
      <c r="B5" s="4"/>
      <c r="C5" s="4"/>
      <c r="D5" s="4"/>
      <c r="E5" s="4"/>
      <c r="F5" s="4"/>
    </row>
    <row r="6" spans="1:7" ht="45.75" customHeight="1" x14ac:dyDescent="0.3">
      <c r="A6" s="3" t="s">
        <v>21</v>
      </c>
      <c r="B6" s="3"/>
      <c r="C6" s="3"/>
      <c r="D6" s="3"/>
      <c r="E6" s="3"/>
      <c r="F6" s="3"/>
    </row>
    <row r="7" spans="1:7" ht="18" customHeight="1" x14ac:dyDescent="0.3">
      <c r="A7" s="4" t="s">
        <v>22</v>
      </c>
      <c r="B7" s="4"/>
      <c r="C7" s="4"/>
      <c r="D7" s="4"/>
      <c r="E7" s="4"/>
      <c r="F7" s="4"/>
    </row>
    <row r="8" spans="1:7" ht="45.75" customHeight="1" x14ac:dyDescent="0.3">
      <c r="A8" s="3" t="s">
        <v>23</v>
      </c>
      <c r="B8" s="3"/>
      <c r="C8" s="3"/>
      <c r="D8" s="3"/>
      <c r="E8" s="3"/>
      <c r="F8" s="3"/>
    </row>
    <row r="9" spans="1:7" ht="18" customHeight="1" x14ac:dyDescent="0.3">
      <c r="A9" s="4" t="s">
        <v>24</v>
      </c>
      <c r="B9" s="4"/>
      <c r="C9" s="4"/>
      <c r="D9" s="4"/>
      <c r="E9" s="4"/>
      <c r="F9" s="4"/>
    </row>
    <row r="10" spans="1:7" ht="45.75" customHeight="1" x14ac:dyDescent="0.3">
      <c r="A10" s="3" t="s">
        <v>25</v>
      </c>
      <c r="B10" s="3"/>
      <c r="C10" s="3"/>
      <c r="D10" s="3"/>
      <c r="E10" s="3"/>
      <c r="F10" s="3"/>
    </row>
    <row r="11" spans="1:7" ht="18" customHeight="1" x14ac:dyDescent="0.3">
      <c r="A11" s="4" t="s">
        <v>26</v>
      </c>
      <c r="B11" s="4"/>
      <c r="C11" s="4"/>
      <c r="D11" s="4"/>
      <c r="E11" s="4"/>
      <c r="F11" s="4"/>
    </row>
    <row r="12" spans="1:7" ht="45.75" customHeight="1" x14ac:dyDescent="0.3">
      <c r="A12" s="3" t="s">
        <v>27</v>
      </c>
      <c r="B12" s="3"/>
      <c r="C12" s="3"/>
      <c r="D12" s="3"/>
      <c r="E12" s="3"/>
      <c r="F12" s="3"/>
    </row>
    <row r="14" spans="1:7" ht="30" customHeight="1" x14ac:dyDescent="0.3">
      <c r="A14" s="8" t="s">
        <v>11</v>
      </c>
      <c r="B14" s="8" t="s">
        <v>12</v>
      </c>
      <c r="C14" s="8" t="s">
        <v>28</v>
      </c>
      <c r="D14" s="8" t="s">
        <v>29</v>
      </c>
      <c r="E14" s="8" t="s">
        <v>30</v>
      </c>
      <c r="F14" s="8" t="s">
        <v>31</v>
      </c>
      <c r="G14" s="8" t="s">
        <v>32</v>
      </c>
    </row>
    <row r="15" spans="1:7" x14ac:dyDescent="0.3">
      <c r="A15" s="9">
        <v>1</v>
      </c>
      <c r="B15" s="13" t="str">
        <f>IF('Complexity Card'!B15="","",'Complexity Card'!B15)</f>
        <v/>
      </c>
      <c r="C15" s="11"/>
      <c r="D15" s="11"/>
      <c r="E15" s="11"/>
      <c r="F15" s="11"/>
      <c r="G15" s="12" t="str">
        <f t="shared" ref="G15:G26" si="0">IFERROR(ROUND(AVERAGE(C15:F15),1),"")</f>
        <v/>
      </c>
    </row>
    <row r="16" spans="1:7" x14ac:dyDescent="0.3">
      <c r="A16" s="9">
        <v>2</v>
      </c>
      <c r="B16" s="13" t="str">
        <f>IF('Complexity Card'!B16="","",'Complexity Card'!B16)</f>
        <v/>
      </c>
      <c r="C16" s="11"/>
      <c r="D16" s="11"/>
      <c r="E16" s="11"/>
      <c r="F16" s="11"/>
      <c r="G16" s="12" t="str">
        <f t="shared" si="0"/>
        <v/>
      </c>
    </row>
    <row r="17" spans="1:7" x14ac:dyDescent="0.3">
      <c r="A17" s="9">
        <v>3</v>
      </c>
      <c r="B17" s="13" t="str">
        <f>IF('Complexity Card'!B17="","",'Complexity Card'!B17)</f>
        <v/>
      </c>
      <c r="C17" s="11"/>
      <c r="D17" s="11"/>
      <c r="E17" s="11"/>
      <c r="F17" s="11"/>
      <c r="G17" s="12" t="str">
        <f t="shared" si="0"/>
        <v/>
      </c>
    </row>
    <row r="18" spans="1:7" x14ac:dyDescent="0.3">
      <c r="A18" s="9">
        <v>4</v>
      </c>
      <c r="B18" s="13" t="str">
        <f>IF('Complexity Card'!B18="","",'Complexity Card'!B18)</f>
        <v/>
      </c>
      <c r="C18" s="11"/>
      <c r="D18" s="11"/>
      <c r="E18" s="11"/>
      <c r="F18" s="11"/>
      <c r="G18" s="12" t="str">
        <f t="shared" si="0"/>
        <v/>
      </c>
    </row>
    <row r="19" spans="1:7" x14ac:dyDescent="0.3">
      <c r="A19" s="9">
        <v>5</v>
      </c>
      <c r="B19" s="13" t="str">
        <f>IF('Complexity Card'!B19="","",'Complexity Card'!B19)</f>
        <v/>
      </c>
      <c r="C19" s="11"/>
      <c r="D19" s="11"/>
      <c r="E19" s="11"/>
      <c r="F19" s="11"/>
      <c r="G19" s="12" t="str">
        <f t="shared" si="0"/>
        <v/>
      </c>
    </row>
    <row r="20" spans="1:7" x14ac:dyDescent="0.3">
      <c r="A20" s="9">
        <v>6</v>
      </c>
      <c r="B20" s="13" t="str">
        <f>IF('Complexity Card'!B20="","",'Complexity Card'!B20)</f>
        <v/>
      </c>
      <c r="C20" s="11"/>
      <c r="D20" s="11"/>
      <c r="E20" s="11"/>
      <c r="F20" s="11"/>
      <c r="G20" s="12" t="str">
        <f t="shared" si="0"/>
        <v/>
      </c>
    </row>
    <row r="21" spans="1:7" x14ac:dyDescent="0.3">
      <c r="A21" s="9">
        <v>7</v>
      </c>
      <c r="B21" s="13" t="str">
        <f>IF('Complexity Card'!B21="","",'Complexity Card'!B21)</f>
        <v/>
      </c>
      <c r="C21" s="11"/>
      <c r="D21" s="11"/>
      <c r="E21" s="11"/>
      <c r="F21" s="11"/>
      <c r="G21" s="12" t="str">
        <f t="shared" si="0"/>
        <v/>
      </c>
    </row>
    <row r="22" spans="1:7" x14ac:dyDescent="0.3">
      <c r="A22" s="9">
        <v>8</v>
      </c>
      <c r="B22" s="13" t="str">
        <f>IF('Complexity Card'!B22="","",'Complexity Card'!B22)</f>
        <v/>
      </c>
      <c r="C22" s="11"/>
      <c r="D22" s="11"/>
      <c r="E22" s="11"/>
      <c r="F22" s="11"/>
      <c r="G22" s="12" t="str">
        <f t="shared" si="0"/>
        <v/>
      </c>
    </row>
    <row r="23" spans="1:7" x14ac:dyDescent="0.3">
      <c r="A23" s="9">
        <v>9</v>
      </c>
      <c r="B23" s="13" t="str">
        <f>IF('Complexity Card'!B23="","",'Complexity Card'!B23)</f>
        <v/>
      </c>
      <c r="C23" s="11"/>
      <c r="D23" s="11"/>
      <c r="E23" s="11"/>
      <c r="F23" s="11"/>
      <c r="G23" s="12" t="str">
        <f t="shared" si="0"/>
        <v/>
      </c>
    </row>
    <row r="24" spans="1:7" x14ac:dyDescent="0.3">
      <c r="A24" s="9">
        <v>10</v>
      </c>
      <c r="B24" s="13" t="str">
        <f>IF('Complexity Card'!B24="","",'Complexity Card'!B24)</f>
        <v/>
      </c>
      <c r="C24" s="11"/>
      <c r="D24" s="11"/>
      <c r="E24" s="11"/>
      <c r="F24" s="11"/>
      <c r="G24" s="12" t="str">
        <f t="shared" si="0"/>
        <v/>
      </c>
    </row>
    <row r="25" spans="1:7" x14ac:dyDescent="0.3">
      <c r="A25" s="9">
        <v>11</v>
      </c>
      <c r="B25" s="13" t="str">
        <f>IF('Complexity Card'!B25="","",'Complexity Card'!B25)</f>
        <v/>
      </c>
      <c r="C25" s="11"/>
      <c r="D25" s="11"/>
      <c r="E25" s="11"/>
      <c r="F25" s="11"/>
      <c r="G25" s="12" t="str">
        <f t="shared" si="0"/>
        <v/>
      </c>
    </row>
    <row r="26" spans="1:7" x14ac:dyDescent="0.3">
      <c r="A26" s="9">
        <v>12</v>
      </c>
      <c r="B26" s="13" t="str">
        <f>IF('Complexity Card'!B26="","",'Complexity Card'!B26)</f>
        <v/>
      </c>
      <c r="C26" s="11"/>
      <c r="D26" s="11"/>
      <c r="E26" s="11"/>
      <c r="F26" s="11"/>
      <c r="G26" s="12" t="str">
        <f t="shared" si="0"/>
        <v/>
      </c>
    </row>
  </sheetData>
  <mergeCells count="11">
    <mergeCell ref="A12:F12"/>
    <mergeCell ref="A7:F7"/>
    <mergeCell ref="A8:F8"/>
    <mergeCell ref="A9:F9"/>
    <mergeCell ref="A10:F10"/>
    <mergeCell ref="A11:F11"/>
    <mergeCell ref="A1:F1"/>
    <mergeCell ref="A2:F2"/>
    <mergeCell ref="A4:F4"/>
    <mergeCell ref="A5:F5"/>
    <mergeCell ref="A6:F6"/>
  </mergeCells>
  <dataValidations count="1">
    <dataValidation type="whole" allowBlank="1" errorTitle="Score 1–5" error="Enter a whole number from 1 to 5" sqref="C15:F26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showGridLines="0" zoomScaleNormal="100" workbookViewId="0">
      <selection activeCell="B28" sqref="B28:J28"/>
    </sheetView>
  </sheetViews>
  <sheetFormatPr defaultColWidth="8.6640625" defaultRowHeight="14.4" x14ac:dyDescent="0.3"/>
  <cols>
    <col min="1" max="1" width="4" customWidth="1"/>
    <col min="2" max="2" width="30" customWidth="1"/>
    <col min="3" max="4" width="10" customWidth="1"/>
    <col min="5" max="7" width="12" customWidth="1"/>
    <col min="8" max="8" width="13" customWidth="1"/>
    <col min="9" max="9" width="12" customWidth="1"/>
    <col min="10" max="10" width="26" customWidth="1"/>
  </cols>
  <sheetData>
    <row r="1" spans="1:10" ht="27.75" customHeight="1" x14ac:dyDescent="0.3">
      <c r="A1" s="7" t="s">
        <v>33</v>
      </c>
      <c r="B1" s="7"/>
      <c r="C1" s="7"/>
      <c r="D1" s="7"/>
      <c r="E1" s="7"/>
      <c r="F1" s="7"/>
      <c r="G1" s="7"/>
      <c r="H1" s="7"/>
      <c r="I1" s="7"/>
    </row>
    <row r="2" spans="1:10" ht="39.75" customHeight="1" x14ac:dyDescent="0.3">
      <c r="A2" s="6" t="s">
        <v>34</v>
      </c>
      <c r="B2" s="6"/>
      <c r="C2" s="6"/>
      <c r="D2" s="6"/>
      <c r="E2" s="6"/>
      <c r="F2" s="6"/>
      <c r="G2" s="6"/>
      <c r="H2" s="6"/>
      <c r="I2" s="6"/>
    </row>
    <row r="4" spans="1:10" ht="18" customHeight="1" x14ac:dyDescent="0.3">
      <c r="A4" s="5" t="s">
        <v>2</v>
      </c>
      <c r="B4" s="5"/>
      <c r="C4" s="5"/>
      <c r="D4" s="5"/>
      <c r="E4" s="5"/>
      <c r="F4" s="5"/>
      <c r="G4" s="5"/>
      <c r="H4" s="5"/>
      <c r="I4" s="5"/>
    </row>
    <row r="5" spans="1:10" ht="18" customHeight="1" x14ac:dyDescent="0.3">
      <c r="A5" s="4" t="s">
        <v>35</v>
      </c>
      <c r="B5" s="4"/>
      <c r="C5" s="4"/>
      <c r="D5" s="4"/>
      <c r="E5" s="4"/>
      <c r="F5" s="4"/>
      <c r="G5" s="4"/>
      <c r="H5" s="4"/>
      <c r="I5" s="4"/>
    </row>
    <row r="6" spans="1:10" ht="45.75" customHeight="1" x14ac:dyDescent="0.3">
      <c r="A6" s="3" t="s">
        <v>36</v>
      </c>
      <c r="B6" s="3"/>
      <c r="C6" s="3"/>
      <c r="D6" s="3"/>
      <c r="E6" s="3"/>
      <c r="F6" s="3"/>
      <c r="G6" s="3"/>
      <c r="H6" s="3"/>
      <c r="I6" s="3"/>
    </row>
    <row r="7" spans="1:10" ht="18" customHeight="1" x14ac:dyDescent="0.3">
      <c r="A7" s="4" t="s">
        <v>37</v>
      </c>
      <c r="B7" s="4"/>
      <c r="C7" s="4"/>
      <c r="D7" s="4"/>
      <c r="E7" s="4"/>
      <c r="F7" s="4"/>
      <c r="G7" s="4"/>
      <c r="H7" s="4"/>
      <c r="I7" s="4"/>
    </row>
    <row r="8" spans="1:10" ht="45.75" customHeight="1" x14ac:dyDescent="0.3">
      <c r="A8" s="3" t="s">
        <v>38</v>
      </c>
      <c r="B8" s="3"/>
      <c r="C8" s="3"/>
      <c r="D8" s="3"/>
      <c r="E8" s="3"/>
      <c r="F8" s="3"/>
      <c r="G8" s="3"/>
      <c r="H8" s="3"/>
      <c r="I8" s="3"/>
    </row>
    <row r="9" spans="1:10" ht="18" customHeight="1" x14ac:dyDescent="0.3">
      <c r="A9" s="4" t="s">
        <v>39</v>
      </c>
      <c r="B9" s="4"/>
      <c r="C9" s="4"/>
      <c r="D9" s="4"/>
      <c r="E9" s="4"/>
      <c r="F9" s="4"/>
      <c r="G9" s="4"/>
      <c r="H9" s="4"/>
      <c r="I9" s="4"/>
    </row>
    <row r="10" spans="1:10" ht="45.75" customHeight="1" x14ac:dyDescent="0.3">
      <c r="A10" s="3" t="s">
        <v>40</v>
      </c>
      <c r="B10" s="3"/>
      <c r="C10" s="3"/>
      <c r="D10" s="3"/>
      <c r="E10" s="3"/>
      <c r="F10" s="3"/>
      <c r="G10" s="3"/>
      <c r="H10" s="3"/>
      <c r="I10" s="3"/>
    </row>
    <row r="11" spans="1:10" ht="18" customHeight="1" x14ac:dyDescent="0.3">
      <c r="A11" s="4" t="s">
        <v>41</v>
      </c>
      <c r="B11" s="4"/>
      <c r="C11" s="4"/>
      <c r="D11" s="4"/>
      <c r="E11" s="4"/>
      <c r="F11" s="4"/>
      <c r="G11" s="4"/>
      <c r="H11" s="4"/>
      <c r="I11" s="4"/>
    </row>
    <row r="12" spans="1:10" ht="45.75" customHeight="1" x14ac:dyDescent="0.3">
      <c r="A12" s="3" t="s">
        <v>42</v>
      </c>
      <c r="B12" s="3"/>
      <c r="C12" s="3"/>
      <c r="D12" s="3"/>
      <c r="E12" s="3"/>
      <c r="F12" s="3"/>
      <c r="G12" s="3"/>
      <c r="H12" s="3"/>
      <c r="I12" s="3"/>
    </row>
    <row r="14" spans="1:10" ht="31.5" customHeight="1" x14ac:dyDescent="0.3">
      <c r="A14" s="8" t="s">
        <v>11</v>
      </c>
      <c r="B14" s="8" t="s">
        <v>12</v>
      </c>
      <c r="C14" s="8" t="s">
        <v>43</v>
      </c>
      <c r="D14" s="8" t="s">
        <v>44</v>
      </c>
      <c r="E14" s="8" t="s">
        <v>45</v>
      </c>
      <c r="F14" s="8" t="s">
        <v>46</v>
      </c>
      <c r="G14" s="8" t="s">
        <v>47</v>
      </c>
      <c r="H14" s="14" t="s">
        <v>48</v>
      </c>
      <c r="I14" s="14" t="s">
        <v>49</v>
      </c>
      <c r="J14" s="8" t="s">
        <v>50</v>
      </c>
    </row>
    <row r="15" spans="1:10" ht="15.6" x14ac:dyDescent="0.3">
      <c r="A15" s="9">
        <v>1</v>
      </c>
      <c r="B15" s="13" t="str">
        <f>IF('Complexity Card'!B15="","",'Complexity Card'!B15)</f>
        <v/>
      </c>
      <c r="C15" s="11"/>
      <c r="D15" s="11"/>
      <c r="E15" s="11"/>
      <c r="F15" s="11"/>
      <c r="G15" s="12" t="str">
        <f t="shared" ref="G15:G26" si="0">IFERROR(ROUND(AVERAGE(C15:F15),1),"")</f>
        <v/>
      </c>
      <c r="H15" s="15" t="str">
        <f>IFERROR(IF(COUNT(C15:F15)=0,"",ROUND(0.4*((G15-1)/4*100)+0.3*(('Feasibility Card'!G15-1)/4*100)+0.3*((5-'Complexity Card'!G15)/4*100),0)),"")</f>
        <v/>
      </c>
      <c r="I15" s="16" t="str">
        <f t="shared" ref="I15:I26" si="1">IF(H15="","",IF(H15&lt;50,"Low",IF(H15&lt;80,"Medium","High")))</f>
        <v/>
      </c>
      <c r="J15" s="17"/>
    </row>
    <row r="16" spans="1:10" ht="15.6" x14ac:dyDescent="0.3">
      <c r="A16" s="9">
        <v>2</v>
      </c>
      <c r="B16" s="13" t="str">
        <f>IF('Complexity Card'!B16="","",'Complexity Card'!B16)</f>
        <v/>
      </c>
      <c r="C16" s="11"/>
      <c r="D16" s="11"/>
      <c r="E16" s="11"/>
      <c r="F16" s="11"/>
      <c r="G16" s="12" t="str">
        <f t="shared" si="0"/>
        <v/>
      </c>
      <c r="H16" s="15" t="str">
        <f>IFERROR(IF(COUNT(C16:F16)=0,"",ROUND(0.4*((G16-1)/4*100)+0.3*(('Feasibility Card'!G16-1)/4*100)+0.3*((5-'Complexity Card'!G16)/4*100),0)),"")</f>
        <v/>
      </c>
      <c r="I16" s="16" t="str">
        <f t="shared" si="1"/>
        <v/>
      </c>
      <c r="J16" s="17"/>
    </row>
    <row r="17" spans="1:10" ht="15.6" x14ac:dyDescent="0.3">
      <c r="A17" s="9">
        <v>3</v>
      </c>
      <c r="B17" s="13" t="str">
        <f>IF('Complexity Card'!B17="","",'Complexity Card'!B17)</f>
        <v/>
      </c>
      <c r="C17" s="11"/>
      <c r="D17" s="11"/>
      <c r="E17" s="11"/>
      <c r="F17" s="11"/>
      <c r="G17" s="12" t="str">
        <f t="shared" si="0"/>
        <v/>
      </c>
      <c r="H17" s="15" t="str">
        <f>IFERROR(IF(COUNT(C17:F17)=0,"",ROUND(0.4*((G17-1)/4*100)+0.3*(('Feasibility Card'!G17-1)/4*100)+0.3*((5-'Complexity Card'!G17)/4*100),0)),"")</f>
        <v/>
      </c>
      <c r="I17" s="16" t="str">
        <f t="shared" si="1"/>
        <v/>
      </c>
      <c r="J17" s="17"/>
    </row>
    <row r="18" spans="1:10" ht="15.6" x14ac:dyDescent="0.3">
      <c r="A18" s="9">
        <v>4</v>
      </c>
      <c r="B18" s="13" t="str">
        <f>IF('Complexity Card'!B18="","",'Complexity Card'!B18)</f>
        <v/>
      </c>
      <c r="C18" s="11"/>
      <c r="D18" s="11"/>
      <c r="E18" s="11"/>
      <c r="F18" s="11"/>
      <c r="G18" s="12" t="str">
        <f t="shared" si="0"/>
        <v/>
      </c>
      <c r="H18" s="15" t="str">
        <f>IFERROR(IF(COUNT(C18:F18)=0,"",ROUND(0.4*((G18-1)/4*100)+0.3*(('Feasibility Card'!G18-1)/4*100)+0.3*((5-'Complexity Card'!G18)/4*100),0)),"")</f>
        <v/>
      </c>
      <c r="I18" s="16" t="str">
        <f t="shared" si="1"/>
        <v/>
      </c>
      <c r="J18" s="17"/>
    </row>
    <row r="19" spans="1:10" ht="15.6" x14ac:dyDescent="0.3">
      <c r="A19" s="9">
        <v>5</v>
      </c>
      <c r="B19" s="13" t="str">
        <f>IF('Complexity Card'!B19="","",'Complexity Card'!B19)</f>
        <v/>
      </c>
      <c r="C19" s="11"/>
      <c r="D19" s="11"/>
      <c r="E19" s="11"/>
      <c r="F19" s="11"/>
      <c r="G19" s="12" t="str">
        <f t="shared" si="0"/>
        <v/>
      </c>
      <c r="H19" s="15" t="str">
        <f>IFERROR(IF(COUNT(C19:F19)=0,"",ROUND(0.4*((G19-1)/4*100)+0.3*(('Feasibility Card'!G19-1)/4*100)+0.3*((5-'Complexity Card'!G19)/4*100),0)),"")</f>
        <v/>
      </c>
      <c r="I19" s="16" t="str">
        <f t="shared" si="1"/>
        <v/>
      </c>
      <c r="J19" s="17"/>
    </row>
    <row r="20" spans="1:10" ht="15.6" x14ac:dyDescent="0.3">
      <c r="A20" s="9">
        <v>6</v>
      </c>
      <c r="B20" s="13" t="str">
        <f>IF('Complexity Card'!B20="","",'Complexity Card'!B20)</f>
        <v/>
      </c>
      <c r="C20" s="11"/>
      <c r="D20" s="11"/>
      <c r="E20" s="11"/>
      <c r="F20" s="11"/>
      <c r="G20" s="12" t="str">
        <f t="shared" si="0"/>
        <v/>
      </c>
      <c r="H20" s="15" t="str">
        <f>IFERROR(IF(COUNT(C20:F20)=0,"",ROUND(0.4*((G20-1)/4*100)+0.3*(('Feasibility Card'!G20-1)/4*100)+0.3*((5-'Complexity Card'!G20)/4*100),0)),"")</f>
        <v/>
      </c>
      <c r="I20" s="16" t="str">
        <f t="shared" si="1"/>
        <v/>
      </c>
      <c r="J20" s="17"/>
    </row>
    <row r="21" spans="1:10" ht="15.6" x14ac:dyDescent="0.3">
      <c r="A21" s="9">
        <v>7</v>
      </c>
      <c r="B21" s="13" t="str">
        <f>IF('Complexity Card'!B21="","",'Complexity Card'!B21)</f>
        <v/>
      </c>
      <c r="C21" s="11"/>
      <c r="D21" s="11"/>
      <c r="E21" s="11"/>
      <c r="F21" s="11"/>
      <c r="G21" s="12" t="str">
        <f t="shared" si="0"/>
        <v/>
      </c>
      <c r="H21" s="15" t="str">
        <f>IFERROR(IF(COUNT(C21:F21)=0,"",ROUND(0.4*((G21-1)/4*100)+0.3*(('Feasibility Card'!G21-1)/4*100)+0.3*((5-'Complexity Card'!G21)/4*100),0)),"")</f>
        <v/>
      </c>
      <c r="I21" s="16" t="str">
        <f t="shared" si="1"/>
        <v/>
      </c>
      <c r="J21" s="17"/>
    </row>
    <row r="22" spans="1:10" ht="15.6" x14ac:dyDescent="0.3">
      <c r="A22" s="9">
        <v>8</v>
      </c>
      <c r="B22" s="13" t="str">
        <f>IF('Complexity Card'!B22="","",'Complexity Card'!B22)</f>
        <v/>
      </c>
      <c r="C22" s="11"/>
      <c r="D22" s="11"/>
      <c r="E22" s="11"/>
      <c r="F22" s="11"/>
      <c r="G22" s="12" t="str">
        <f t="shared" si="0"/>
        <v/>
      </c>
      <c r="H22" s="15" t="str">
        <f>IFERROR(IF(COUNT(C22:F22)=0,"",ROUND(0.4*((G22-1)/4*100)+0.3*(('Feasibility Card'!G22-1)/4*100)+0.3*((5-'Complexity Card'!G22)/4*100),0)),"")</f>
        <v/>
      </c>
      <c r="I22" s="16" t="str">
        <f t="shared" si="1"/>
        <v/>
      </c>
      <c r="J22" s="17"/>
    </row>
    <row r="23" spans="1:10" ht="15.6" x14ac:dyDescent="0.3">
      <c r="A23" s="9">
        <v>9</v>
      </c>
      <c r="B23" s="13" t="str">
        <f>IF('Complexity Card'!B23="","",'Complexity Card'!B23)</f>
        <v/>
      </c>
      <c r="C23" s="11"/>
      <c r="D23" s="11"/>
      <c r="E23" s="11"/>
      <c r="F23" s="11"/>
      <c r="G23" s="12" t="str">
        <f t="shared" si="0"/>
        <v/>
      </c>
      <c r="H23" s="15" t="str">
        <f>IFERROR(IF(COUNT(C23:F23)=0,"",ROUND(0.4*((G23-1)/4*100)+0.3*(('Feasibility Card'!G23-1)/4*100)+0.3*((5-'Complexity Card'!G23)/4*100),0)),"")</f>
        <v/>
      </c>
      <c r="I23" s="16" t="str">
        <f t="shared" si="1"/>
        <v/>
      </c>
      <c r="J23" s="17"/>
    </row>
    <row r="24" spans="1:10" ht="15.6" x14ac:dyDescent="0.3">
      <c r="A24" s="9">
        <v>10</v>
      </c>
      <c r="B24" s="13" t="str">
        <f>IF('Complexity Card'!B24="","",'Complexity Card'!B24)</f>
        <v/>
      </c>
      <c r="C24" s="11"/>
      <c r="D24" s="11"/>
      <c r="E24" s="11"/>
      <c r="F24" s="11"/>
      <c r="G24" s="12" t="str">
        <f t="shared" si="0"/>
        <v/>
      </c>
      <c r="H24" s="15" t="str">
        <f>IFERROR(IF(COUNT(C24:F24)=0,"",ROUND(0.4*((G24-1)/4*100)+0.3*(('Feasibility Card'!G24-1)/4*100)+0.3*((5-'Complexity Card'!G24)/4*100),0)),"")</f>
        <v/>
      </c>
      <c r="I24" s="16" t="str">
        <f t="shared" si="1"/>
        <v/>
      </c>
      <c r="J24" s="17"/>
    </row>
    <row r="25" spans="1:10" ht="15.6" x14ac:dyDescent="0.3">
      <c r="A25" s="9">
        <v>11</v>
      </c>
      <c r="B25" s="13" t="str">
        <f>IF('Complexity Card'!B25="","",'Complexity Card'!B25)</f>
        <v/>
      </c>
      <c r="C25" s="11"/>
      <c r="D25" s="11"/>
      <c r="E25" s="11"/>
      <c r="F25" s="11"/>
      <c r="G25" s="12" t="str">
        <f t="shared" si="0"/>
        <v/>
      </c>
      <c r="H25" s="15" t="str">
        <f>IFERROR(IF(COUNT(C25:F25)=0,"",ROUND(0.4*((G25-1)/4*100)+0.3*(('Feasibility Card'!G25-1)/4*100)+0.3*((5-'Complexity Card'!G25)/4*100),0)),"")</f>
        <v/>
      </c>
      <c r="I25" s="16" t="str">
        <f t="shared" si="1"/>
        <v/>
      </c>
      <c r="J25" s="17"/>
    </row>
    <row r="26" spans="1:10" ht="15.6" x14ac:dyDescent="0.3">
      <c r="A26" s="9">
        <v>12</v>
      </c>
      <c r="B26" s="13" t="str">
        <f>IF('Complexity Card'!B26="","",'Complexity Card'!B26)</f>
        <v/>
      </c>
      <c r="C26" s="11"/>
      <c r="D26" s="11"/>
      <c r="E26" s="11"/>
      <c r="F26" s="11"/>
      <c r="G26" s="12" t="str">
        <f t="shared" si="0"/>
        <v/>
      </c>
      <c r="H26" s="15" t="str">
        <f>IFERROR(IF(COUNT(C26:F26)=0,"",ROUND(0.4*((G26-1)/4*100)+0.3*(('Feasibility Card'!G26-1)/4*100)+0.3*((5-'Complexity Card'!G26)/4*100),0)),"")</f>
        <v/>
      </c>
      <c r="I26" s="16" t="str">
        <f t="shared" si="1"/>
        <v/>
      </c>
      <c r="J26" s="17"/>
    </row>
    <row r="28" spans="1:10" ht="15" customHeight="1" x14ac:dyDescent="0.3">
      <c r="B28" s="5" t="s">
        <v>51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 x14ac:dyDescent="0.3">
      <c r="B29" s="2" t="s">
        <v>52</v>
      </c>
      <c r="C29" s="2"/>
      <c r="D29" s="2"/>
      <c r="E29" s="2"/>
      <c r="F29" s="2"/>
      <c r="G29" s="2"/>
      <c r="H29" s="2"/>
      <c r="I29" s="2"/>
      <c r="J29" s="2"/>
    </row>
    <row r="30" spans="1:10" ht="19.5" customHeight="1" x14ac:dyDescent="0.3">
      <c r="B30" s="18" t="s">
        <v>53</v>
      </c>
      <c r="C30" s="1" t="s">
        <v>54</v>
      </c>
      <c r="D30" s="1"/>
      <c r="E30" s="1"/>
      <c r="F30" s="1"/>
      <c r="G30" s="1"/>
      <c r="H30" s="1"/>
      <c r="I30" s="1"/>
      <c r="J30" s="1"/>
    </row>
    <row r="31" spans="1:10" ht="19.5" customHeight="1" x14ac:dyDescent="0.3">
      <c r="B31" s="19" t="s">
        <v>55</v>
      </c>
      <c r="C31" s="1" t="s">
        <v>56</v>
      </c>
      <c r="D31" s="1"/>
      <c r="E31" s="1"/>
      <c r="F31" s="1"/>
      <c r="G31" s="1"/>
      <c r="H31" s="1"/>
      <c r="I31" s="1"/>
      <c r="J31" s="1"/>
    </row>
    <row r="32" spans="1:10" ht="19.5" customHeight="1" x14ac:dyDescent="0.3">
      <c r="B32" s="20" t="s">
        <v>57</v>
      </c>
      <c r="C32" s="1" t="s">
        <v>58</v>
      </c>
      <c r="D32" s="1"/>
      <c r="E32" s="1"/>
      <c r="F32" s="1"/>
      <c r="G32" s="1"/>
      <c r="H32" s="1"/>
      <c r="I32" s="1"/>
      <c r="J32" s="1"/>
    </row>
  </sheetData>
  <mergeCells count="16">
    <mergeCell ref="C32:J32"/>
    <mergeCell ref="A12:I12"/>
    <mergeCell ref="B28:J28"/>
    <mergeCell ref="B29:J29"/>
    <mergeCell ref="C30:J30"/>
    <mergeCell ref="C31:J31"/>
    <mergeCell ref="A7:I7"/>
    <mergeCell ref="A8:I8"/>
    <mergeCell ref="A9:I9"/>
    <mergeCell ref="A10:I10"/>
    <mergeCell ref="A11:I11"/>
    <mergeCell ref="A1:I1"/>
    <mergeCell ref="A2:I2"/>
    <mergeCell ref="A4:I4"/>
    <mergeCell ref="A5:I5"/>
    <mergeCell ref="A6:I6"/>
  </mergeCells>
  <conditionalFormatting sqref="I15:I26">
    <cfRule type="cellIs" dxfId="2" priority="2" operator="equal">
      <formula>"High"</formula>
    </cfRule>
    <cfRule type="cellIs" dxfId="1" priority="3" operator="equal">
      <formula>"Medium"</formula>
    </cfRule>
    <cfRule type="cellIs" dxfId="0" priority="4" operator="equal">
      <formula>"Low"</formula>
    </cfRule>
  </conditionalFormatting>
  <conditionalFormatting sqref="H15:H26">
    <cfRule type="colorScale" priority="5">
      <colorScale>
        <cfvo type="num" val="0"/>
        <cfvo type="num" val="65"/>
        <cfvo type="num" val="100"/>
        <color rgb="FFF4B6B0"/>
        <color rgb="FFFFE08A"/>
        <color rgb="FFA9DCC3"/>
      </colorScale>
    </cfRule>
  </conditionalFormatting>
  <dataValidations count="1">
    <dataValidation type="whole" allowBlank="1" errorTitle="Score 1–5" error="Enter a whole number from 1 to 5" sqref="C15:F26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Complexity Card</vt:lpstr>
      <vt:lpstr>Feasibility Card</vt:lpstr>
      <vt:lpstr>Savings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2026-06-21T09:53:13Z</dcterms:created>
  <dcterms:modified xsi:type="dcterms:W3CDTF">2026-06-21T09:57:31Z</dcterms:modified>
  <dc:language>en-US</dc:language>
</cp:coreProperties>
</file>