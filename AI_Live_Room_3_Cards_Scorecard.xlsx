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ve Room Documents\"/>
    </mc:Choice>
  </mc:AlternateContent>
  <bookViews>
    <workbookView xWindow="0" yWindow="0" windowWidth="16380" windowHeight="8196" tabRatio="500"/>
  </bookViews>
  <sheets>
    <sheet name="Complexity Card" sheetId="1" r:id="rId1"/>
    <sheet name="Feasibility Card" sheetId="2" r:id="rId2"/>
    <sheet name="Savings Card" sheetId="3" r:id="rId3"/>
  </sheets>
  <calcPr calcId="162913" iterateDelta="1E-4"/>
</workbook>
</file>

<file path=xl/calcChain.xml><?xml version="1.0" encoding="utf-8"?>
<calcChain xmlns="http://schemas.openxmlformats.org/spreadsheetml/2006/main">
  <c r="H23" i="3" l="1"/>
  <c r="I23" i="3" s="1"/>
  <c r="G23" i="3"/>
  <c r="B23" i="3"/>
  <c r="H22" i="3"/>
  <c r="I22" i="3" s="1"/>
  <c r="G22" i="3"/>
  <c r="B22" i="3"/>
  <c r="H21" i="3"/>
  <c r="I21" i="3" s="1"/>
  <c r="G21" i="3"/>
  <c r="B21" i="3"/>
  <c r="H20" i="3"/>
  <c r="I20" i="3" s="1"/>
  <c r="G20" i="3"/>
  <c r="B20" i="3"/>
  <c r="H19" i="3"/>
  <c r="I19" i="3" s="1"/>
  <c r="G19" i="3"/>
  <c r="B19" i="3"/>
  <c r="H18" i="3"/>
  <c r="I18" i="3" s="1"/>
  <c r="G18" i="3"/>
  <c r="B18" i="3"/>
  <c r="H17" i="3"/>
  <c r="I17" i="3" s="1"/>
  <c r="G17" i="3"/>
  <c r="B17" i="3"/>
  <c r="H16" i="3"/>
  <c r="I16" i="3" s="1"/>
  <c r="G16" i="3"/>
  <c r="B16" i="3"/>
  <c r="H15" i="3"/>
  <c r="I15" i="3" s="1"/>
  <c r="G15" i="3"/>
  <c r="B15" i="3"/>
  <c r="H14" i="3"/>
  <c r="I14" i="3" s="1"/>
  <c r="G14" i="3"/>
  <c r="B14" i="3"/>
  <c r="H13" i="3"/>
  <c r="I13" i="3" s="1"/>
  <c r="G13" i="3"/>
  <c r="B13" i="3"/>
  <c r="H12" i="3"/>
  <c r="I12" i="3" s="1"/>
  <c r="G12" i="3"/>
  <c r="B12" i="3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<sst xmlns="http://schemas.openxmlformats.org/spreadsheetml/2006/main" count="86" uniqueCount="72">
  <si>
    <t>COMPLEXITY CARD  —  how hard &amp; risky is it?</t>
  </si>
  <si>
    <t>How to fill: score each of the 4 factors from 1 to 5 (min 1, max 5). HIGHER complexity = harder and riskier, which LOWERS the final use case score. Enter one row per use case.</t>
  </si>
  <si>
    <t>SCORING GUIDE  —  every factor is scored 1 to 5  (minimum 1, maximum 5)</t>
  </si>
  <si>
    <t>Factor</t>
  </si>
  <si>
    <t>What a score of 1 means</t>
  </si>
  <si>
    <t>What a score of 5 means</t>
  </si>
  <si>
    <t>Process / operational complexity</t>
  </si>
  <si>
    <t>Simple, few steps, well understood</t>
  </si>
  <si>
    <t>Very complex, many steps &amp; edge cases</t>
  </si>
  <si>
    <t>Compliance / regulatory sensitivity</t>
  </si>
  <si>
    <t>No regulatory impact</t>
  </si>
  <si>
    <t>Heavily regulated, needs sign-off</t>
  </si>
  <si>
    <t>Delivery / change risk</t>
  </si>
  <si>
    <t>Trivial, low-risk change</t>
  </si>
  <si>
    <t>Major, high-risk change</t>
  </si>
  <si>
    <t>Integration complexity (systems touched)</t>
  </si>
  <si>
    <t>One system, no hand-offs</t>
  </si>
  <si>
    <t>Many systems &amp; hand-offs</t>
  </si>
  <si>
    <t>#</t>
  </si>
  <si>
    <t>Use Case</t>
  </si>
  <si>
    <t>Process /
operational</t>
  </si>
  <si>
    <t>Compliance /
regulatory</t>
  </si>
  <si>
    <t>Delivery /
change risk</t>
  </si>
  <si>
    <t>Integration
complexity</t>
  </si>
  <si>
    <t>Complexity
score (avg)</t>
  </si>
  <si>
    <t>FEASIBILITY CARD  —  how easy is it to build?</t>
  </si>
  <si>
    <t>How to fill: score each of the 4 factors from 1 to 5 (min 1, max 5). HIGHER feasibility = easier and more ready, which RAISES the final use case score. For 'Build effort', 5 means LOW effort.</t>
  </si>
  <si>
    <t>Technical fit / maturity</t>
  </si>
  <si>
    <t>Unproven, experimental</t>
  </si>
  <si>
    <t>Proven, mature technology</t>
  </si>
  <si>
    <t>Data readiness &amp; quality</t>
  </si>
  <si>
    <t>Data poor or unavailable</t>
  </si>
  <si>
    <t>Data clean &amp; ready</t>
  </si>
  <si>
    <t>Skills &amp; tooling available</t>
  </si>
  <si>
    <t>Not available today</t>
  </si>
  <si>
    <t>Fully available in-house</t>
  </si>
  <si>
    <t>Build effort  (5 = low effort)</t>
  </si>
  <si>
    <t>Very large effort</t>
  </si>
  <si>
    <t>Very small effort</t>
  </si>
  <si>
    <t>Technical
fit</t>
  </si>
  <si>
    <t>Data
readiness</t>
  </si>
  <si>
    <t>Skills &amp;
tooling</t>
  </si>
  <si>
    <t>Build effort
(5=low)</t>
  </si>
  <si>
    <t>Feasibility
score (avg)</t>
  </si>
  <si>
    <t>SAVINGS CARD  —  what is the prize?</t>
  </si>
  <si>
    <t>How to fill: score each of the 4 factors from 1 to 5 (min 1, max 5). HIGHER savings = bigger benefit, which RAISES the final use case score. Use the Notes column to record real numbers (FTE, hours, ROI %) if you have them.</t>
  </si>
  <si>
    <t>FTE / effort saved</t>
  </si>
  <si>
    <t>Negligible saving</t>
  </si>
  <si>
    <t>Very high saving</t>
  </si>
  <si>
    <t>Time / cycle-time saved</t>
  </si>
  <si>
    <t>Error / risk reduction</t>
  </si>
  <si>
    <t>Negligible reduction</t>
  </si>
  <si>
    <t>Very high reduction</t>
  </si>
  <si>
    <t>Financial return (ROI)</t>
  </si>
  <si>
    <t>Negligible / unclear return</t>
  </si>
  <si>
    <t>Very high return</t>
  </si>
  <si>
    <t>FTE /
effort</t>
  </si>
  <si>
    <t>Time /
cycle</t>
  </si>
  <si>
    <t>Error / risk
reduction</t>
  </si>
  <si>
    <t>Financial
return (ROI)</t>
  </si>
  <si>
    <t>Savings
score (avg)</t>
  </si>
  <si>
    <t>USE CASE
SCORE (0-100)</t>
  </si>
  <si>
    <t>PRIORITY</t>
  </si>
  <si>
    <t>Notes (real numbers)</t>
  </si>
  <si>
    <t>HOW THE USE CASE SCORE WORKS</t>
  </si>
  <si>
    <t>Use Case Score (0–100) = 40% × Savings  +  30% × Feasibility  +  30% × (inverse) Complexity. High savings, high feasibility and LOW complexity push the score up.</t>
  </si>
  <si>
    <t>High</t>
  </si>
  <si>
    <t>Score 80–100  ·  do first — strong candidate for the backlog</t>
  </si>
  <si>
    <t>Medium</t>
  </si>
  <si>
    <t>Score 50–79  ·  worth doing — sequence after the quick wins</t>
  </si>
  <si>
    <t>Low</t>
  </si>
  <si>
    <t>Score below 50  ·  revisit, reshape or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</si>
</sst>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sz val="10"/>
      <color rgb="FF3A4843"/>
      <name val="Calibri"/>
      <charset val="1"/>
    </font>
    <font>
      <b/>
      <sz val="10"/>
      <color rgb="FF00915A"/>
      <name val="Calibri"/>
      <charset val="1"/>
    </font>
    <font>
      <sz val="10"/>
      <color rgb="FF1E2A24"/>
      <name val="Calibri"/>
      <charset val="1"/>
    </font>
    <font>
      <b/>
      <sz val="9.5"/>
      <color rgb="FF1E2A24"/>
      <name val="Calibri"/>
      <charset val="1"/>
    </font>
    <font>
      <sz val="9"/>
      <color rgb="FF1E2A24"/>
      <name val="Calibri"/>
      <charset val="1"/>
    </font>
    <font>
      <sz val="9.5"/>
      <color rgb="FF3A4843"/>
      <name val="Calibri"/>
      <charset val="1"/>
    </font>
    <font>
      <b/>
      <sz val="9.5"/>
      <color rgb="FFFFFFFF"/>
      <name val="Calibri"/>
      <charset val="1"/>
    </font>
    <font>
      <sz val="10"/>
      <name val="Calibri"/>
      <charset val="1"/>
    </font>
    <font>
      <sz val="10"/>
      <color rgb="FF0000CC"/>
      <name val="Calibri"/>
      <charset val="1"/>
    </font>
    <font>
      <b/>
      <sz val="10.5"/>
      <color rgb="FF00633F"/>
      <name val="Calibri"/>
      <charset val="1"/>
    </font>
    <font>
      <sz val="10"/>
      <color rgb="FF555555"/>
      <name val="Calibri"/>
      <charset val="1"/>
    </font>
    <font>
      <b/>
      <sz val="12"/>
      <color rgb="FF1E2A24"/>
      <name val="Calibri"/>
      <charset val="1"/>
    </font>
    <font>
      <b/>
      <sz val="11"/>
      <color rgb="FF1E2A24"/>
      <name val="Calibri"/>
      <charset val="1"/>
    </font>
    <font>
      <sz val="9.5"/>
      <color rgb="FF555555"/>
      <name val="Calibri"/>
      <charset val="1"/>
    </font>
    <font>
      <b/>
      <sz val="10.5"/>
      <color rgb="FF00915A"/>
      <name val="Calibri"/>
      <charset val="1"/>
    </font>
    <font>
      <b/>
      <sz val="10"/>
      <color rgb="FF00633F"/>
      <name val="Calibri"/>
      <charset val="1"/>
    </font>
    <font>
      <b/>
      <sz val="10"/>
      <color rgb="FF7A5B00"/>
      <name val="Calibri"/>
      <charset val="1"/>
    </font>
    <font>
      <b/>
      <sz val="10"/>
      <color rgb="FF444444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00633F"/>
        <bgColor rgb="FF008080"/>
      </patternFill>
    </fill>
    <fill>
      <patternFill patternType="solid">
        <fgColor rgb="FFE9F5EF"/>
        <bgColor rgb="FFF3F5F4"/>
      </patternFill>
    </fill>
    <fill>
      <patternFill patternType="solid">
        <fgColor rgb="FFD7ECE2"/>
        <bgColor rgb="FFD9DEDC"/>
      </patternFill>
    </fill>
    <fill>
      <patternFill patternType="solid">
        <fgColor rgb="FF00915A"/>
        <bgColor rgb="FF008080"/>
      </patternFill>
    </fill>
    <fill>
      <patternFill patternType="solid">
        <fgColor rgb="FFFFF6D6"/>
        <bgColor rgb="FFF3F5F4"/>
      </patternFill>
    </fill>
    <fill>
      <patternFill patternType="solid">
        <fgColor rgb="FFF3F5F4"/>
        <bgColor rgb="FFE9F5EF"/>
      </patternFill>
    </fill>
    <fill>
      <patternFill patternType="solid">
        <fgColor rgb="FFFFFFFF"/>
        <bgColor rgb="FFF3F5F4"/>
      </patternFill>
    </fill>
    <fill>
      <patternFill patternType="solid">
        <fgColor rgb="FFA9DCC3"/>
        <bgColor rgb="FFC8D5CE"/>
      </patternFill>
    </fill>
    <fill>
      <patternFill patternType="solid">
        <fgColor rgb="FFFFE08A"/>
        <bgColor rgb="FFFFFF99"/>
      </patternFill>
    </fill>
    <fill>
      <patternFill patternType="solid">
        <fgColor rgb="FFD9DEDC"/>
        <bgColor rgb="FFD7ECE2"/>
      </patternFill>
    </fill>
  </fills>
  <borders count="5">
    <border>
      <left/>
      <right/>
      <top/>
      <bottom/>
      <diagonal/>
    </border>
    <border>
      <left style="thin">
        <color rgb="FFC8D5CE"/>
      </left>
      <right style="thin">
        <color rgb="FFC8D5CE"/>
      </right>
      <top style="thin">
        <color rgb="FFC8D5CE"/>
      </top>
      <bottom style="thin">
        <color rgb="FFC8D5CE"/>
      </bottom>
      <diagonal/>
    </border>
    <border>
      <left style="thin">
        <color rgb="FFC8D5CE"/>
      </left>
      <right/>
      <top style="thin">
        <color rgb="FFC8D5CE"/>
      </top>
      <bottom style="thin">
        <color rgb="FFC8D5CE"/>
      </bottom>
      <diagonal/>
    </border>
    <border>
      <left/>
      <right style="thin">
        <color rgb="FFC8D5CE"/>
      </right>
      <top style="thin">
        <color rgb="FFC8D5CE"/>
      </top>
      <bottom style="thin">
        <color rgb="FFC8D5CE"/>
      </bottom>
      <diagonal/>
    </border>
    <border>
      <left/>
      <right/>
      <top style="thin">
        <color rgb="FFC8D5CE"/>
      </top>
      <bottom style="thin">
        <color rgb="FFC8D5CE"/>
      </bottom>
      <diagonal/>
    </border>
  </borders>
  <cellStyleXfs count="1">
    <xf numFmtId="0" fontId="0" fillId="0" borderId="0"/>
  </cellStyleXfs>
  <cellXfs count="30">
    <xf numFmtId="0" fontId="0" fillId="0" borderId="0" xfId="0" applyAlignment="1"/>
    <xf numFmtId="0" fontId="0" fillId="0" borderId="0" xfId="0" applyAlignment="1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/>
    <xf numFmtId="0" fontId="10" fillId="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7" borderId="1" xfId="0" applyFont="1" applyFill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8" borderId="1" xfId="0" applyFont="1" applyFill="1" applyBorder="1" applyAlignment="1"/>
    <xf numFmtId="0" fontId="17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 applyAlignment="1"/>
    <xf numFmtId="0" fontId="5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444444"/>
        <name val="Calibri"/>
      </font>
      <fill>
        <patternFill>
          <bgColor rgb="FFD9DEDC"/>
        </patternFill>
      </fill>
    </dxf>
    <dxf>
      <font>
        <b/>
        <color rgb="FF7A5B00"/>
        <name val="Calibri"/>
      </font>
      <fill>
        <patternFill>
          <bgColor rgb="FFFFE08A"/>
        </patternFill>
      </fill>
    </dxf>
    <dxf>
      <font>
        <b/>
        <color rgb="FF00633F"/>
        <name val="Calibri"/>
      </font>
      <fill>
        <patternFill>
          <bgColor rgb="FFA9DC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33F"/>
      <rgbColor rgb="FF000080"/>
      <rgbColor rgb="FF7A5B00"/>
      <rgbColor rgb="FF800080"/>
      <rgbColor rgb="FF00915A"/>
      <rgbColor rgb="FFC8D5CE"/>
      <rgbColor rgb="FF808080"/>
      <rgbColor rgb="FF9999FF"/>
      <rgbColor rgb="FF993366"/>
      <rgbColor rgb="FFFFF6D6"/>
      <rgbColor rgb="FFE9F5EF"/>
      <rgbColor rgb="FF660066"/>
      <rgbColor rgb="FFFF8080"/>
      <rgbColor rgb="FF0066CC"/>
      <rgbColor rgb="FFD9D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4"/>
      <rgbColor rgb="FFD7ECE2"/>
      <rgbColor rgb="FFFFFF99"/>
      <rgbColor rgb="FFA9DCC3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44444"/>
      <rgbColor rgb="FF993300"/>
      <rgbColor rgb="FF993366"/>
      <rgbColor rgb="FF3A4843"/>
      <rgbColor rgb="FF1E2A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4" style="1" customWidth="1"/>
    <col min="2" max="2" width="30" style="1" customWidth="1"/>
    <col min="3" max="6" width="15" style="1" customWidth="1"/>
    <col min="7" max="7" width="14" style="1" customWidth="1"/>
  </cols>
  <sheetData>
    <row r="1" spans="1:7" ht="27.75" customHeight="1" x14ac:dyDescent="0.3">
      <c r="A1" s="21" t="s">
        <v>0</v>
      </c>
      <c r="B1" s="22"/>
      <c r="C1" s="22"/>
      <c r="D1" s="22"/>
      <c r="E1" s="22"/>
      <c r="F1" s="22"/>
      <c r="G1" s="22"/>
    </row>
    <row r="2" spans="1:7" ht="42" customHeight="1" x14ac:dyDescent="0.3">
      <c r="A2" s="26" t="s">
        <v>1</v>
      </c>
      <c r="B2" s="22"/>
      <c r="C2" s="22"/>
      <c r="D2" s="22"/>
      <c r="E2" s="22"/>
      <c r="F2" s="22"/>
      <c r="G2" s="22"/>
    </row>
    <row r="4" spans="1:7" ht="15" customHeight="1" x14ac:dyDescent="0.3">
      <c r="A4" s="25" t="s">
        <v>2</v>
      </c>
      <c r="B4" s="22"/>
      <c r="C4" s="22"/>
      <c r="D4" s="22"/>
      <c r="E4" s="22"/>
      <c r="F4" s="22"/>
      <c r="G4" s="22"/>
    </row>
    <row r="5" spans="1:7" ht="15" customHeight="1" x14ac:dyDescent="0.3">
      <c r="A5" s="2"/>
      <c r="B5" s="3" t="s">
        <v>3</v>
      </c>
      <c r="C5" s="23" t="s">
        <v>4</v>
      </c>
      <c r="D5" s="20"/>
      <c r="E5" s="23" t="s">
        <v>5</v>
      </c>
      <c r="F5" s="24"/>
      <c r="G5" s="20"/>
    </row>
    <row r="6" spans="1:7" ht="25.5" customHeight="1" x14ac:dyDescent="0.3">
      <c r="A6" s="4"/>
      <c r="B6" s="5" t="s">
        <v>6</v>
      </c>
      <c r="C6" s="19" t="s">
        <v>7</v>
      </c>
      <c r="D6" s="20"/>
      <c r="E6" s="19" t="s">
        <v>8</v>
      </c>
      <c r="F6" s="24"/>
      <c r="G6" s="20"/>
    </row>
    <row r="7" spans="1:7" ht="25.5" customHeight="1" x14ac:dyDescent="0.3">
      <c r="A7" s="4"/>
      <c r="B7" s="5" t="s">
        <v>9</v>
      </c>
      <c r="C7" s="19" t="s">
        <v>10</v>
      </c>
      <c r="D7" s="20"/>
      <c r="E7" s="19" t="s">
        <v>11</v>
      </c>
      <c r="F7" s="24"/>
      <c r="G7" s="20"/>
    </row>
    <row r="8" spans="1:7" ht="25.5" customHeight="1" x14ac:dyDescent="0.3">
      <c r="A8" s="4"/>
      <c r="B8" s="5" t="s">
        <v>12</v>
      </c>
      <c r="C8" s="19" t="s">
        <v>13</v>
      </c>
      <c r="D8" s="20"/>
      <c r="E8" s="19" t="s">
        <v>14</v>
      </c>
      <c r="F8" s="24"/>
      <c r="G8" s="20"/>
    </row>
    <row r="9" spans="1:7" ht="25.5" customHeight="1" x14ac:dyDescent="0.3">
      <c r="A9" s="4"/>
      <c r="B9" s="5" t="s">
        <v>15</v>
      </c>
      <c r="C9" s="19" t="s">
        <v>16</v>
      </c>
      <c r="D9" s="20"/>
      <c r="E9" s="19" t="s">
        <v>17</v>
      </c>
      <c r="F9" s="24"/>
      <c r="G9" s="20"/>
    </row>
    <row r="11" spans="1:7" ht="30" customHeight="1" x14ac:dyDescent="0.3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</row>
    <row r="12" spans="1:7" ht="15" customHeight="1" x14ac:dyDescent="0.3">
      <c r="A12" s="7">
        <v>1</v>
      </c>
      <c r="B12" s="8"/>
      <c r="C12" s="9"/>
      <c r="D12" s="9"/>
      <c r="E12" s="9"/>
      <c r="F12" s="9"/>
      <c r="G12" s="10" t="str">
        <f t="shared" ref="G12:G23" si="0">IFERROR(ROUND(AVERAGE(C12:F12),1),"")</f>
        <v/>
      </c>
    </row>
    <row r="13" spans="1:7" ht="15" customHeight="1" x14ac:dyDescent="0.3">
      <c r="A13" s="7">
        <v>2</v>
      </c>
      <c r="B13" s="8"/>
      <c r="C13" s="9"/>
      <c r="D13" s="9"/>
      <c r="E13" s="9"/>
      <c r="F13" s="9"/>
      <c r="G13" s="10" t="str">
        <f t="shared" si="0"/>
        <v/>
      </c>
    </row>
    <row r="14" spans="1:7" ht="15" customHeight="1" x14ac:dyDescent="0.3">
      <c r="A14" s="7">
        <v>3</v>
      </c>
      <c r="B14" s="8"/>
      <c r="C14" s="9"/>
      <c r="D14" s="9"/>
      <c r="E14" s="9"/>
      <c r="F14" s="9"/>
      <c r="G14" s="10" t="str">
        <f t="shared" si="0"/>
        <v/>
      </c>
    </row>
    <row r="15" spans="1:7" ht="15" customHeight="1" x14ac:dyDescent="0.3">
      <c r="A15" s="7">
        <v>4</v>
      </c>
      <c r="B15" s="8"/>
      <c r="C15" s="9"/>
      <c r="D15" s="9"/>
      <c r="E15" s="9"/>
      <c r="F15" s="9"/>
      <c r="G15" s="10" t="str">
        <f t="shared" si="0"/>
        <v/>
      </c>
    </row>
    <row r="16" spans="1:7" ht="15" customHeight="1" x14ac:dyDescent="0.3">
      <c r="A16" s="7">
        <v>5</v>
      </c>
      <c r="B16" s="8"/>
      <c r="C16" s="9"/>
      <c r="D16" s="9"/>
      <c r="E16" s="9"/>
      <c r="F16" s="9"/>
      <c r="G16" s="10" t="str">
        <f t="shared" si="0"/>
        <v/>
      </c>
    </row>
    <row r="17" spans="1:7" ht="15" customHeight="1" x14ac:dyDescent="0.3">
      <c r="A17" s="7">
        <v>6</v>
      </c>
      <c r="B17" s="8"/>
      <c r="C17" s="9"/>
      <c r="D17" s="9"/>
      <c r="E17" s="9"/>
      <c r="F17" s="9"/>
      <c r="G17" s="10" t="str">
        <f t="shared" si="0"/>
        <v/>
      </c>
    </row>
    <row r="18" spans="1:7" ht="15" customHeight="1" x14ac:dyDescent="0.3">
      <c r="A18" s="7">
        <v>7</v>
      </c>
      <c r="B18" s="8"/>
      <c r="C18" s="9"/>
      <c r="D18" s="9"/>
      <c r="E18" s="9"/>
      <c r="F18" s="9"/>
      <c r="G18" s="10" t="str">
        <f t="shared" si="0"/>
        <v/>
      </c>
    </row>
    <row r="19" spans="1:7" ht="15" customHeight="1" x14ac:dyDescent="0.3">
      <c r="A19" s="7">
        <v>8</v>
      </c>
      <c r="B19" s="8"/>
      <c r="C19" s="9"/>
      <c r="D19" s="9"/>
      <c r="E19" s="9"/>
      <c r="F19" s="9"/>
      <c r="G19" s="10" t="str">
        <f t="shared" si="0"/>
        <v/>
      </c>
    </row>
    <row r="20" spans="1:7" ht="15" customHeight="1" x14ac:dyDescent="0.3">
      <c r="A20" s="7">
        <v>9</v>
      </c>
      <c r="B20" s="8"/>
      <c r="C20" s="9"/>
      <c r="D20" s="9"/>
      <c r="E20" s="9"/>
      <c r="F20" s="9"/>
      <c r="G20" s="10" t="str">
        <f t="shared" si="0"/>
        <v/>
      </c>
    </row>
    <row r="21" spans="1:7" ht="15" customHeight="1" x14ac:dyDescent="0.3">
      <c r="A21" s="7">
        <v>10</v>
      </c>
      <c r="B21" s="8"/>
      <c r="C21" s="9"/>
      <c r="D21" s="9"/>
      <c r="E21" s="9"/>
      <c r="F21" s="9"/>
      <c r="G21" s="10" t="str">
        <f t="shared" si="0"/>
        <v/>
      </c>
    </row>
    <row r="22" spans="1:7" ht="15" customHeight="1" x14ac:dyDescent="0.3">
      <c r="A22" s="7">
        <v>11</v>
      </c>
      <c r="B22" s="8"/>
      <c r="C22" s="9"/>
      <c r="D22" s="9"/>
      <c r="E22" s="9"/>
      <c r="F22" s="9"/>
      <c r="G22" s="10" t="str">
        <f t="shared" si="0"/>
        <v/>
      </c>
    </row>
    <row r="23" spans="1:7" ht="15" customHeight="1" x14ac:dyDescent="0.3">
      <c r="A23" s="7">
        <v>12</v>
      </c>
      <c r="B23" s="8"/>
      <c r="C23" s="9"/>
      <c r="D23" s="9"/>
      <c r="E23" s="9"/>
      <c r="F23" s="9"/>
      <c r="G23" s="10" t="str">
        <f t="shared" si="0"/>
        <v/>
      </c>
    </row>
  </sheetData>
  <mergeCells count="13">
    <mergeCell ref="E8:G8"/>
    <mergeCell ref="A2:G2"/>
    <mergeCell ref="E9:G9"/>
    <mergeCell ref="E6:G6"/>
    <mergeCell ref="C9:D9"/>
    <mergeCell ref="E7:G7"/>
    <mergeCell ref="C8:D8"/>
    <mergeCell ref="C6:D6"/>
    <mergeCell ref="A1:G1"/>
    <mergeCell ref="C7:D7"/>
    <mergeCell ref="E5:G5"/>
    <mergeCell ref="C5:D5"/>
    <mergeCell ref="A4:G4"/>
  </mergeCells>
  <dataValidations count="1">
    <dataValidation type="whole" allowBlank="1" errorTitle="Score 1–5" error="Enter a whole number from 1 to 5" sqref="C12:F23">
      <formula1>1</formula1>
      <formula2>5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showGridLines="0" zoomScaleNormal="100" workbookViewId="0"/>
  </sheetViews>
  <sheetFormatPr defaultColWidth="8.6640625" defaultRowHeight="14.4" x14ac:dyDescent="0.3"/>
  <cols>
    <col min="1" max="1" width="4" style="1" customWidth="1"/>
    <col min="2" max="2" width="30" style="1" customWidth="1"/>
    <col min="3" max="6" width="15" style="1" customWidth="1"/>
    <col min="7" max="7" width="14" style="1" customWidth="1"/>
  </cols>
  <sheetData>
    <row r="1" spans="1:7" ht="27.75" customHeight="1" x14ac:dyDescent="0.3">
      <c r="A1" s="21" t="s">
        <v>25</v>
      </c>
      <c r="B1" s="22"/>
      <c r="C1" s="22"/>
      <c r="D1" s="22"/>
      <c r="E1" s="22"/>
      <c r="F1" s="22"/>
    </row>
    <row r="2" spans="1:7" ht="42" customHeight="1" x14ac:dyDescent="0.3">
      <c r="A2" s="26" t="s">
        <v>26</v>
      </c>
      <c r="B2" s="22"/>
      <c r="C2" s="22"/>
      <c r="D2" s="22"/>
      <c r="E2" s="22"/>
      <c r="F2" s="22"/>
    </row>
    <row r="4" spans="1:7" ht="15" customHeight="1" x14ac:dyDescent="0.3">
      <c r="A4" s="25" t="s">
        <v>2</v>
      </c>
      <c r="B4" s="22"/>
      <c r="C4" s="22"/>
      <c r="D4" s="22"/>
      <c r="E4" s="22"/>
      <c r="F4" s="22"/>
    </row>
    <row r="5" spans="1:7" ht="15" customHeight="1" x14ac:dyDescent="0.3">
      <c r="A5" s="2"/>
      <c r="B5" s="3" t="s">
        <v>3</v>
      </c>
      <c r="C5" s="23" t="s">
        <v>4</v>
      </c>
      <c r="D5" s="20"/>
      <c r="E5" s="23" t="s">
        <v>5</v>
      </c>
      <c r="F5" s="20"/>
    </row>
    <row r="6" spans="1:7" ht="25.5" customHeight="1" x14ac:dyDescent="0.3">
      <c r="A6" s="4"/>
      <c r="B6" s="5" t="s">
        <v>27</v>
      </c>
      <c r="C6" s="19" t="s">
        <v>28</v>
      </c>
      <c r="D6" s="20"/>
      <c r="E6" s="19" t="s">
        <v>29</v>
      </c>
      <c r="F6" s="20"/>
    </row>
    <row r="7" spans="1:7" ht="25.5" customHeight="1" x14ac:dyDescent="0.3">
      <c r="A7" s="4"/>
      <c r="B7" s="5" t="s">
        <v>30</v>
      </c>
      <c r="C7" s="19" t="s">
        <v>31</v>
      </c>
      <c r="D7" s="20"/>
      <c r="E7" s="19" t="s">
        <v>32</v>
      </c>
      <c r="F7" s="20"/>
    </row>
    <row r="8" spans="1:7" ht="25.5" customHeight="1" x14ac:dyDescent="0.3">
      <c r="A8" s="4"/>
      <c r="B8" s="5" t="s">
        <v>33</v>
      </c>
      <c r="C8" s="19" t="s">
        <v>34</v>
      </c>
      <c r="D8" s="20"/>
      <c r="E8" s="19" t="s">
        <v>35</v>
      </c>
      <c r="F8" s="20"/>
    </row>
    <row r="9" spans="1:7" ht="25.5" customHeight="1" x14ac:dyDescent="0.3">
      <c r="A9" s="4"/>
      <c r="B9" s="5" t="s">
        <v>36</v>
      </c>
      <c r="C9" s="19" t="s">
        <v>37</v>
      </c>
      <c r="D9" s="20"/>
      <c r="E9" s="19" t="s">
        <v>38</v>
      </c>
      <c r="F9" s="20"/>
    </row>
    <row r="11" spans="1:7" ht="30" customHeight="1" x14ac:dyDescent="0.3">
      <c r="A11" s="6" t="s">
        <v>18</v>
      </c>
      <c r="B11" s="6" t="s">
        <v>19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</row>
    <row r="12" spans="1:7" ht="15" customHeight="1" x14ac:dyDescent="0.3">
      <c r="A12" s="7">
        <v>1</v>
      </c>
      <c r="B12" s="11" t="str">
        <f>IF('Complexity Card'!B12="","",'Complexity Card'!B12)</f>
        <v/>
      </c>
      <c r="C12" s="9"/>
      <c r="D12" s="9"/>
      <c r="E12" s="9"/>
      <c r="F12" s="9"/>
      <c r="G12" s="10" t="str">
        <f t="shared" ref="G12:G23" si="0">IFERROR(ROUND(AVERAGE(C12:F12),1),"")</f>
        <v/>
      </c>
    </row>
    <row r="13" spans="1:7" ht="15" customHeight="1" x14ac:dyDescent="0.3">
      <c r="A13" s="7">
        <v>2</v>
      </c>
      <c r="B13" s="11" t="str">
        <f>IF('Complexity Card'!B13="","",'Complexity Card'!B13)</f>
        <v/>
      </c>
      <c r="C13" s="9"/>
      <c r="D13" s="9"/>
      <c r="E13" s="9"/>
      <c r="F13" s="9"/>
      <c r="G13" s="10" t="str">
        <f t="shared" si="0"/>
        <v/>
      </c>
    </row>
    <row r="14" spans="1:7" ht="15" customHeight="1" x14ac:dyDescent="0.3">
      <c r="A14" s="7">
        <v>3</v>
      </c>
      <c r="B14" s="11" t="str">
        <f>IF('Complexity Card'!B14="","",'Complexity Card'!B14)</f>
        <v/>
      </c>
      <c r="C14" s="9"/>
      <c r="D14" s="9"/>
      <c r="E14" s="9"/>
      <c r="F14" s="9"/>
      <c r="G14" s="10" t="str">
        <f t="shared" si="0"/>
        <v/>
      </c>
    </row>
    <row r="15" spans="1:7" ht="15" customHeight="1" x14ac:dyDescent="0.3">
      <c r="A15" s="7">
        <v>4</v>
      </c>
      <c r="B15" s="11" t="str">
        <f>IF('Complexity Card'!B15="","",'Complexity Card'!B15)</f>
        <v/>
      </c>
      <c r="C15" s="9"/>
      <c r="D15" s="9"/>
      <c r="E15" s="9"/>
      <c r="F15" s="9"/>
      <c r="G15" s="10" t="str">
        <f t="shared" si="0"/>
        <v/>
      </c>
    </row>
    <row r="16" spans="1:7" ht="15" customHeight="1" x14ac:dyDescent="0.3">
      <c r="A16" s="7">
        <v>5</v>
      </c>
      <c r="B16" s="11" t="str">
        <f>IF('Complexity Card'!B16="","",'Complexity Card'!B16)</f>
        <v/>
      </c>
      <c r="C16" s="9"/>
      <c r="D16" s="9"/>
      <c r="E16" s="9"/>
      <c r="F16" s="9"/>
      <c r="G16" s="10" t="str">
        <f t="shared" si="0"/>
        <v/>
      </c>
    </row>
    <row r="17" spans="1:7" ht="15" customHeight="1" x14ac:dyDescent="0.3">
      <c r="A17" s="7">
        <v>6</v>
      </c>
      <c r="B17" s="11" t="str">
        <f>IF('Complexity Card'!B17="","",'Complexity Card'!B17)</f>
        <v/>
      </c>
      <c r="C17" s="9"/>
      <c r="D17" s="9"/>
      <c r="E17" s="9"/>
      <c r="F17" s="9"/>
      <c r="G17" s="10" t="str">
        <f t="shared" si="0"/>
        <v/>
      </c>
    </row>
    <row r="18" spans="1:7" ht="15" customHeight="1" x14ac:dyDescent="0.3">
      <c r="A18" s="7">
        <v>7</v>
      </c>
      <c r="B18" s="11" t="str">
        <f>IF('Complexity Card'!B18="","",'Complexity Card'!B18)</f>
        <v/>
      </c>
      <c r="C18" s="9"/>
      <c r="D18" s="9"/>
      <c r="E18" s="9"/>
      <c r="F18" s="9"/>
      <c r="G18" s="10" t="str">
        <f t="shared" si="0"/>
        <v/>
      </c>
    </row>
    <row r="19" spans="1:7" ht="15" customHeight="1" x14ac:dyDescent="0.3">
      <c r="A19" s="7">
        <v>8</v>
      </c>
      <c r="B19" s="11" t="str">
        <f>IF('Complexity Card'!B19="","",'Complexity Card'!B19)</f>
        <v/>
      </c>
      <c r="C19" s="9"/>
      <c r="D19" s="9"/>
      <c r="E19" s="9"/>
      <c r="F19" s="9"/>
      <c r="G19" s="10" t="str">
        <f t="shared" si="0"/>
        <v/>
      </c>
    </row>
    <row r="20" spans="1:7" ht="15" customHeight="1" x14ac:dyDescent="0.3">
      <c r="A20" s="7">
        <v>9</v>
      </c>
      <c r="B20" s="11" t="str">
        <f>IF('Complexity Card'!B20="","",'Complexity Card'!B20)</f>
        <v/>
      </c>
      <c r="C20" s="9"/>
      <c r="D20" s="9"/>
      <c r="E20" s="9"/>
      <c r="F20" s="9"/>
      <c r="G20" s="10" t="str">
        <f t="shared" si="0"/>
        <v/>
      </c>
    </row>
    <row r="21" spans="1:7" ht="15" customHeight="1" x14ac:dyDescent="0.3">
      <c r="A21" s="7">
        <v>10</v>
      </c>
      <c r="B21" s="11" t="str">
        <f>IF('Complexity Card'!B21="","",'Complexity Card'!B21)</f>
        <v/>
      </c>
      <c r="C21" s="9"/>
      <c r="D21" s="9"/>
      <c r="E21" s="9"/>
      <c r="F21" s="9"/>
      <c r="G21" s="10" t="str">
        <f t="shared" si="0"/>
        <v/>
      </c>
    </row>
    <row r="22" spans="1:7" ht="15" customHeight="1" x14ac:dyDescent="0.3">
      <c r="A22" s="7">
        <v>11</v>
      </c>
      <c r="B22" s="11" t="str">
        <f>IF('Complexity Card'!B22="","",'Complexity Card'!B22)</f>
        <v/>
      </c>
      <c r="C22" s="9"/>
      <c r="D22" s="9"/>
      <c r="E22" s="9"/>
      <c r="F22" s="9"/>
      <c r="G22" s="10" t="str">
        <f t="shared" si="0"/>
        <v/>
      </c>
    </row>
    <row r="23" spans="1:7" ht="15" customHeight="1" x14ac:dyDescent="0.3">
      <c r="A23" s="7">
        <v>12</v>
      </c>
      <c r="B23" s="11" t="str">
        <f>IF('Complexity Card'!B23="","",'Complexity Card'!B23)</f>
        <v/>
      </c>
      <c r="C23" s="9"/>
      <c r="D23" s="9"/>
      <c r="E23" s="9"/>
      <c r="F23" s="9"/>
      <c r="G23" s="10" t="str">
        <f t="shared" si="0"/>
        <v/>
      </c>
    </row>
  </sheetData>
  <mergeCells count="13">
    <mergeCell ref="A1:F1"/>
    <mergeCell ref="C5:D5"/>
    <mergeCell ref="E5:F5"/>
    <mergeCell ref="A4:F4"/>
    <mergeCell ref="C9:D9"/>
    <mergeCell ref="E9:F9"/>
    <mergeCell ref="E8:F8"/>
    <mergeCell ref="C8:D8"/>
    <mergeCell ref="A2:F2"/>
    <mergeCell ref="E6:F6"/>
    <mergeCell ref="C6:D6"/>
    <mergeCell ref="C7:D7"/>
    <mergeCell ref="E7:F7"/>
  </mergeCells>
  <dataValidations count="1">
    <dataValidation type="whole" allowBlank="1" errorTitle="Score 1–5" error="Enter a whole number from 1 to 5" sqref="C12:F23">
      <formula1>1</formula1>
      <formula2>5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showGridLines="0" zoomScaleNormal="100" workbookViewId="0"/>
  </sheetViews>
  <sheetFormatPr defaultColWidth="8.6640625" defaultRowHeight="14.4" x14ac:dyDescent="0.3"/>
  <cols>
    <col min="1" max="1" width="4" style="1" customWidth="1"/>
    <col min="2" max="2" width="30" style="1" customWidth="1"/>
    <col min="3" max="4" width="10" style="1" customWidth="1"/>
    <col min="5" max="7" width="12" style="1" customWidth="1"/>
    <col min="8" max="8" width="13" style="1" customWidth="1"/>
    <col min="9" max="9" width="12" style="1" customWidth="1"/>
    <col min="10" max="10" width="26" style="1" customWidth="1"/>
  </cols>
  <sheetData>
    <row r="1" spans="1:10" ht="27.75" customHeight="1" x14ac:dyDescent="0.3">
      <c r="A1" s="21" t="s">
        <v>44</v>
      </c>
      <c r="B1" s="22"/>
      <c r="C1" s="22"/>
      <c r="D1" s="22"/>
      <c r="E1" s="22"/>
      <c r="F1" s="22"/>
      <c r="G1" s="22"/>
      <c r="H1" s="22"/>
      <c r="I1" s="22"/>
    </row>
    <row r="2" spans="1:10" ht="42" customHeight="1" x14ac:dyDescent="0.3">
      <c r="A2" s="26" t="s">
        <v>45</v>
      </c>
      <c r="B2" s="22"/>
      <c r="C2" s="22"/>
      <c r="D2" s="22"/>
      <c r="E2" s="22"/>
      <c r="F2" s="22"/>
      <c r="G2" s="22"/>
      <c r="H2" s="22"/>
      <c r="I2" s="22"/>
    </row>
    <row r="4" spans="1:10" ht="15" customHeight="1" x14ac:dyDescent="0.3">
      <c r="A4" s="25" t="s">
        <v>2</v>
      </c>
      <c r="B4" s="22"/>
      <c r="C4" s="22"/>
      <c r="D4" s="22"/>
      <c r="E4" s="22"/>
      <c r="F4" s="22"/>
      <c r="G4" s="22"/>
      <c r="H4" s="22"/>
      <c r="I4" s="22"/>
    </row>
    <row r="5" spans="1:10" ht="15" customHeight="1" x14ac:dyDescent="0.3">
      <c r="A5" s="2"/>
      <c r="B5" s="3" t="s">
        <v>3</v>
      </c>
      <c r="C5" s="23" t="s">
        <v>4</v>
      </c>
      <c r="D5" s="20"/>
      <c r="E5" s="23" t="s">
        <v>5</v>
      </c>
      <c r="F5" s="24"/>
      <c r="G5" s="24"/>
      <c r="H5" s="24"/>
      <c r="I5" s="20"/>
    </row>
    <row r="6" spans="1:10" ht="25.5" customHeight="1" x14ac:dyDescent="0.3">
      <c r="A6" s="4"/>
      <c r="B6" s="5" t="s">
        <v>46</v>
      </c>
      <c r="C6" s="19" t="s">
        <v>47</v>
      </c>
      <c r="D6" s="20"/>
      <c r="E6" s="19" t="s">
        <v>48</v>
      </c>
      <c r="F6" s="24"/>
      <c r="G6" s="24"/>
      <c r="H6" s="24"/>
      <c r="I6" s="20"/>
    </row>
    <row r="7" spans="1:10" ht="25.5" customHeight="1" x14ac:dyDescent="0.3">
      <c r="A7" s="4"/>
      <c r="B7" s="5" t="s">
        <v>49</v>
      </c>
      <c r="C7" s="19" t="s">
        <v>47</v>
      </c>
      <c r="D7" s="20"/>
      <c r="E7" s="19" t="s">
        <v>48</v>
      </c>
      <c r="F7" s="24"/>
      <c r="G7" s="24"/>
      <c r="H7" s="24"/>
      <c r="I7" s="20"/>
    </row>
    <row r="8" spans="1:10" ht="25.5" customHeight="1" x14ac:dyDescent="0.3">
      <c r="A8" s="4"/>
      <c r="B8" s="5" t="s">
        <v>50</v>
      </c>
      <c r="C8" s="19" t="s">
        <v>51</v>
      </c>
      <c r="D8" s="20"/>
      <c r="E8" s="19" t="s">
        <v>52</v>
      </c>
      <c r="F8" s="24"/>
      <c r="G8" s="24"/>
      <c r="H8" s="24"/>
      <c r="I8" s="20"/>
    </row>
    <row r="9" spans="1:10" ht="25.5" customHeight="1" x14ac:dyDescent="0.3">
      <c r="A9" s="4"/>
      <c r="B9" s="5" t="s">
        <v>53</v>
      </c>
      <c r="C9" s="19" t="s">
        <v>54</v>
      </c>
      <c r="D9" s="20"/>
      <c r="E9" s="19" t="s">
        <v>55</v>
      </c>
      <c r="F9" s="24"/>
      <c r="G9" s="24"/>
      <c r="H9" s="24"/>
      <c r="I9" s="20"/>
    </row>
    <row r="11" spans="1:10" ht="31.5" customHeight="1" x14ac:dyDescent="0.3">
      <c r="A11" s="6" t="s">
        <v>18</v>
      </c>
      <c r="B11" s="6" t="s">
        <v>19</v>
      </c>
      <c r="C11" s="6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12" t="s">
        <v>61</v>
      </c>
      <c r="I11" s="12" t="s">
        <v>62</v>
      </c>
      <c r="J11" s="6" t="s">
        <v>63</v>
      </c>
    </row>
    <row r="12" spans="1:10" ht="15" customHeight="1" x14ac:dyDescent="0.3">
      <c r="A12" s="7">
        <v>1</v>
      </c>
      <c r="B12" s="11" t="str">
        <f>IF('Complexity Card'!B12="","",'Complexity Card'!B12)</f>
        <v/>
      </c>
      <c r="C12" s="9"/>
      <c r="D12" s="9"/>
      <c r="E12" s="9"/>
      <c r="F12" s="9"/>
      <c r="G12" s="10" t="str">
        <f t="shared" ref="G12:G23" si="0">IFERROR(ROUND(AVERAGE(C12:F12),1),"")</f>
        <v/>
      </c>
      <c r="H12" s="13" t="str">
        <f>IFERROR(IF(COUNT(C12:F12)=0,"",ROUND(0.4*((G12-1)/4*100)+0.3*(('Feasibility Card'!G12-1)/4*100)+0.3*((5-'Complexity Card'!G12)/4*100),0)),"")</f>
        <v/>
      </c>
      <c r="I12" s="14" t="str">
        <f t="shared" ref="I12:I23" si="1">IF(H12="","",IF(H12&lt;50,"Low",IF(H12&lt;80,"Medium","High")))</f>
        <v/>
      </c>
      <c r="J12" s="15"/>
    </row>
    <row r="13" spans="1:10" ht="15" customHeight="1" x14ac:dyDescent="0.3">
      <c r="A13" s="7">
        <v>2</v>
      </c>
      <c r="B13" s="11" t="str">
        <f>IF('Complexity Card'!B13="","",'Complexity Card'!B13)</f>
        <v/>
      </c>
      <c r="C13" s="9"/>
      <c r="D13" s="9"/>
      <c r="E13" s="9"/>
      <c r="F13" s="9"/>
      <c r="G13" s="10" t="str">
        <f t="shared" si="0"/>
        <v/>
      </c>
      <c r="H13" s="13" t="str">
        <f>IFERROR(IF(COUNT(C13:F13)=0,"",ROUND(0.4*((G13-1)/4*100)+0.3*(('Feasibility Card'!G13-1)/4*100)+0.3*((5-'Complexity Card'!G13)/4*100),0)),"")</f>
        <v/>
      </c>
      <c r="I13" s="14" t="str">
        <f t="shared" si="1"/>
        <v/>
      </c>
      <c r="J13" s="15"/>
    </row>
    <row r="14" spans="1:10" ht="15" customHeight="1" x14ac:dyDescent="0.3">
      <c r="A14" s="7">
        <v>3</v>
      </c>
      <c r="B14" s="11" t="str">
        <f>IF('Complexity Card'!B14="","",'Complexity Card'!B14)</f>
        <v/>
      </c>
      <c r="C14" s="9"/>
      <c r="D14" s="9"/>
      <c r="E14" s="9"/>
      <c r="F14" s="9"/>
      <c r="G14" s="10" t="str">
        <f t="shared" si="0"/>
        <v/>
      </c>
      <c r="H14" s="13" t="str">
        <f>IFERROR(IF(COUNT(C14:F14)=0,"",ROUND(0.4*((G14-1)/4*100)+0.3*(('Feasibility Card'!G14-1)/4*100)+0.3*((5-'Complexity Card'!G14)/4*100),0)),"")</f>
        <v/>
      </c>
      <c r="I14" s="14" t="str">
        <f t="shared" si="1"/>
        <v/>
      </c>
      <c r="J14" s="15"/>
    </row>
    <row r="15" spans="1:10" ht="15" customHeight="1" x14ac:dyDescent="0.3">
      <c r="A15" s="7">
        <v>4</v>
      </c>
      <c r="B15" s="11" t="str">
        <f>IF('Complexity Card'!B15="","",'Complexity Card'!B15)</f>
        <v/>
      </c>
      <c r="C15" s="9"/>
      <c r="D15" s="9"/>
      <c r="E15" s="9"/>
      <c r="F15" s="9"/>
      <c r="G15" s="10" t="str">
        <f t="shared" si="0"/>
        <v/>
      </c>
      <c r="H15" s="13" t="str">
        <f>IFERROR(IF(COUNT(C15:F15)=0,"",ROUND(0.4*((G15-1)/4*100)+0.3*(('Feasibility Card'!G15-1)/4*100)+0.3*((5-'Complexity Card'!G15)/4*100),0)),"")</f>
        <v/>
      </c>
      <c r="I15" s="14" t="str">
        <f t="shared" si="1"/>
        <v/>
      </c>
      <c r="J15" s="15"/>
    </row>
    <row r="16" spans="1:10" ht="15" customHeight="1" x14ac:dyDescent="0.3">
      <c r="A16" s="7">
        <v>5</v>
      </c>
      <c r="B16" s="11" t="str">
        <f>IF('Complexity Card'!B16="","",'Complexity Card'!B16)</f>
        <v/>
      </c>
      <c r="C16" s="9"/>
      <c r="D16" s="9"/>
      <c r="E16" s="9"/>
      <c r="F16" s="9"/>
      <c r="G16" s="10" t="str">
        <f t="shared" si="0"/>
        <v/>
      </c>
      <c r="H16" s="13" t="str">
        <f>IFERROR(IF(COUNT(C16:F16)=0,"",ROUND(0.4*((G16-1)/4*100)+0.3*(('Feasibility Card'!G16-1)/4*100)+0.3*((5-'Complexity Card'!G16)/4*100),0)),"")</f>
        <v/>
      </c>
      <c r="I16" s="14" t="str">
        <f t="shared" si="1"/>
        <v/>
      </c>
      <c r="J16" s="15"/>
    </row>
    <row r="17" spans="1:10" ht="15" customHeight="1" x14ac:dyDescent="0.3">
      <c r="A17" s="7">
        <v>6</v>
      </c>
      <c r="B17" s="11" t="str">
        <f>IF('Complexity Card'!B17="","",'Complexity Card'!B17)</f>
        <v/>
      </c>
      <c r="C17" s="9"/>
      <c r="D17" s="9"/>
      <c r="E17" s="9"/>
      <c r="F17" s="9"/>
      <c r="G17" s="10" t="str">
        <f t="shared" si="0"/>
        <v/>
      </c>
      <c r="H17" s="13" t="str">
        <f>IFERROR(IF(COUNT(C17:F17)=0,"",ROUND(0.4*((G17-1)/4*100)+0.3*(('Feasibility Card'!G17-1)/4*100)+0.3*((5-'Complexity Card'!G17)/4*100),0)),"")</f>
        <v/>
      </c>
      <c r="I17" s="14" t="str">
        <f t="shared" si="1"/>
        <v/>
      </c>
      <c r="J17" s="15"/>
    </row>
    <row r="18" spans="1:10" ht="15" customHeight="1" x14ac:dyDescent="0.3">
      <c r="A18" s="7">
        <v>7</v>
      </c>
      <c r="B18" s="11" t="str">
        <f>IF('Complexity Card'!B18="","",'Complexity Card'!B18)</f>
        <v/>
      </c>
      <c r="C18" s="9"/>
      <c r="D18" s="9"/>
      <c r="E18" s="9"/>
      <c r="F18" s="9"/>
      <c r="G18" s="10" t="str">
        <f t="shared" si="0"/>
        <v/>
      </c>
      <c r="H18" s="13" t="str">
        <f>IFERROR(IF(COUNT(C18:F18)=0,"",ROUND(0.4*((G18-1)/4*100)+0.3*(('Feasibility Card'!G18-1)/4*100)+0.3*((5-'Complexity Card'!G18)/4*100),0)),"")</f>
        <v/>
      </c>
      <c r="I18" s="14" t="str">
        <f t="shared" si="1"/>
        <v/>
      </c>
      <c r="J18" s="15"/>
    </row>
    <row r="19" spans="1:10" ht="15" customHeight="1" x14ac:dyDescent="0.3">
      <c r="A19" s="7">
        <v>8</v>
      </c>
      <c r="B19" s="11" t="str">
        <f>IF('Complexity Card'!B19="","",'Complexity Card'!B19)</f>
        <v/>
      </c>
      <c r="C19" s="9"/>
      <c r="D19" s="9"/>
      <c r="E19" s="9"/>
      <c r="F19" s="9"/>
      <c r="G19" s="10" t="str">
        <f t="shared" si="0"/>
        <v/>
      </c>
      <c r="H19" s="13" t="str">
        <f>IFERROR(IF(COUNT(C19:F19)=0,"",ROUND(0.4*((G19-1)/4*100)+0.3*(('Feasibility Card'!G19-1)/4*100)+0.3*((5-'Complexity Card'!G19)/4*100),0)),"")</f>
        <v/>
      </c>
      <c r="I19" s="14" t="str">
        <f t="shared" si="1"/>
        <v/>
      </c>
      <c r="J19" s="15"/>
    </row>
    <row r="20" spans="1:10" ht="15" customHeight="1" x14ac:dyDescent="0.3">
      <c r="A20" s="7">
        <v>9</v>
      </c>
      <c r="B20" s="11" t="str">
        <f>IF('Complexity Card'!B20="","",'Complexity Card'!B20)</f>
        <v/>
      </c>
      <c r="C20" s="9"/>
      <c r="D20" s="9"/>
      <c r="E20" s="9"/>
      <c r="F20" s="9"/>
      <c r="G20" s="10" t="str">
        <f t="shared" si="0"/>
        <v/>
      </c>
      <c r="H20" s="13" t="str">
        <f>IFERROR(IF(COUNT(C20:F20)=0,"",ROUND(0.4*((G20-1)/4*100)+0.3*(('Feasibility Card'!G20-1)/4*100)+0.3*((5-'Complexity Card'!G20)/4*100),0)),"")</f>
        <v/>
      </c>
      <c r="I20" s="14" t="str">
        <f t="shared" si="1"/>
        <v/>
      </c>
      <c r="J20" s="15"/>
    </row>
    <row r="21" spans="1:10" ht="15" customHeight="1" x14ac:dyDescent="0.3">
      <c r="A21" s="7">
        <v>10</v>
      </c>
      <c r="B21" s="11" t="str">
        <f>IF('Complexity Card'!B21="","",'Complexity Card'!B21)</f>
        <v/>
      </c>
      <c r="C21" s="9"/>
      <c r="D21" s="9"/>
      <c r="E21" s="9"/>
      <c r="F21" s="9"/>
      <c r="G21" s="10" t="str">
        <f t="shared" si="0"/>
        <v/>
      </c>
      <c r="H21" s="13" t="str">
        <f>IFERROR(IF(COUNT(C21:F21)=0,"",ROUND(0.4*((G21-1)/4*100)+0.3*(('Feasibility Card'!G21-1)/4*100)+0.3*((5-'Complexity Card'!G21)/4*100),0)),"")</f>
        <v/>
      </c>
      <c r="I21" s="14" t="str">
        <f t="shared" si="1"/>
        <v/>
      </c>
      <c r="J21" s="15"/>
    </row>
    <row r="22" spans="1:10" ht="15" customHeight="1" x14ac:dyDescent="0.3">
      <c r="A22" s="7">
        <v>11</v>
      </c>
      <c r="B22" s="11" t="str">
        <f>IF('Complexity Card'!B22="","",'Complexity Card'!B22)</f>
        <v/>
      </c>
      <c r="C22" s="9"/>
      <c r="D22" s="9"/>
      <c r="E22" s="9"/>
      <c r="F22" s="9"/>
      <c r="G22" s="10" t="str">
        <f t="shared" si="0"/>
        <v/>
      </c>
      <c r="H22" s="13" t="str">
        <f>IFERROR(IF(COUNT(C22:F22)=0,"",ROUND(0.4*((G22-1)/4*100)+0.3*(('Feasibility Card'!G22-1)/4*100)+0.3*((5-'Complexity Card'!G22)/4*100),0)),"")</f>
        <v/>
      </c>
      <c r="I22" s="14" t="str">
        <f t="shared" si="1"/>
        <v/>
      </c>
      <c r="J22" s="15"/>
    </row>
    <row r="23" spans="1:10" ht="15" customHeight="1" x14ac:dyDescent="0.3">
      <c r="A23" s="7">
        <v>12</v>
      </c>
      <c r="B23" s="11" t="str">
        <f>IF('Complexity Card'!B23="","",'Complexity Card'!B23)</f>
        <v/>
      </c>
      <c r="C23" s="9"/>
      <c r="D23" s="9"/>
      <c r="E23" s="9"/>
      <c r="F23" s="9"/>
      <c r="G23" s="10" t="str">
        <f t="shared" si="0"/>
        <v/>
      </c>
      <c r="H23" s="13" t="str">
        <f>IFERROR(IF(COUNT(C23:F23)=0,"",ROUND(0.4*((G23-1)/4*100)+0.3*(('Feasibility Card'!G23-1)/4*100)+0.3*((5-'Complexity Card'!G23)/4*100),0)),"")</f>
        <v/>
      </c>
      <c r="I23" s="14" t="str">
        <f t="shared" si="1"/>
        <v/>
      </c>
      <c r="J23" s="15"/>
    </row>
    <row r="25" spans="1:10" ht="15" customHeight="1" x14ac:dyDescent="0.3">
      <c r="B25" s="27" t="s">
        <v>64</v>
      </c>
      <c r="C25" s="22"/>
      <c r="D25" s="22"/>
      <c r="E25" s="22"/>
      <c r="F25" s="22"/>
      <c r="G25" s="22"/>
      <c r="H25" s="22"/>
      <c r="I25" s="22"/>
      <c r="J25" s="22"/>
    </row>
    <row r="26" spans="1:10" ht="30" customHeight="1" x14ac:dyDescent="0.3">
      <c r="B26" s="29" t="s">
        <v>65</v>
      </c>
      <c r="C26" s="22"/>
      <c r="D26" s="22"/>
      <c r="E26" s="22"/>
      <c r="F26" s="22"/>
      <c r="G26" s="22"/>
      <c r="H26" s="22"/>
      <c r="I26" s="22"/>
      <c r="J26" s="22"/>
    </row>
    <row r="27" spans="1:10" ht="19.5" customHeight="1" x14ac:dyDescent="0.3">
      <c r="B27" s="16" t="s">
        <v>66</v>
      </c>
      <c r="C27" s="28" t="s">
        <v>67</v>
      </c>
      <c r="D27" s="24"/>
      <c r="E27" s="24"/>
      <c r="F27" s="24"/>
      <c r="G27" s="24"/>
      <c r="H27" s="24"/>
      <c r="I27" s="24"/>
      <c r="J27" s="24"/>
    </row>
    <row r="28" spans="1:10" ht="19.5" customHeight="1" x14ac:dyDescent="0.3">
      <c r="B28" s="17" t="s">
        <v>68</v>
      </c>
      <c r="C28" s="28" t="s">
        <v>69</v>
      </c>
      <c r="D28" s="24"/>
      <c r="E28" s="24"/>
      <c r="F28" s="24"/>
      <c r="G28" s="24"/>
      <c r="H28" s="24"/>
      <c r="I28" s="24"/>
      <c r="J28" s="24"/>
    </row>
    <row r="29" spans="1:10" ht="19.5" customHeight="1" x14ac:dyDescent="0.3">
      <c r="B29" s="18" t="s">
        <v>70</v>
      </c>
      <c r="C29" s="28" t="s">
        <v>71</v>
      </c>
      <c r="D29" s="24"/>
      <c r="E29" s="24"/>
      <c r="F29" s="24"/>
      <c r="G29" s="24"/>
      <c r="H29" s="24"/>
      <c r="I29" s="24"/>
      <c r="J29" s="24"/>
    </row>
  </sheetData>
  <mergeCells count="18">
    <mergeCell ref="C29:J29"/>
    <mergeCell ref="C5:D5"/>
    <mergeCell ref="A1:I1"/>
    <mergeCell ref="B26:J26"/>
    <mergeCell ref="C28:J28"/>
    <mergeCell ref="E5:I5"/>
    <mergeCell ref="C27:J27"/>
    <mergeCell ref="C9:D9"/>
    <mergeCell ref="E8:I8"/>
    <mergeCell ref="A4:I4"/>
    <mergeCell ref="C8:D8"/>
    <mergeCell ref="E9:I9"/>
    <mergeCell ref="B25:J25"/>
    <mergeCell ref="C6:D6"/>
    <mergeCell ref="A2:I2"/>
    <mergeCell ref="C7:D7"/>
    <mergeCell ref="E6:I6"/>
    <mergeCell ref="E7:I7"/>
  </mergeCells>
  <conditionalFormatting sqref="I12:I23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conditionalFormatting sqref="H12:H23">
    <cfRule type="colorScale" priority="5">
      <colorScale>
        <cfvo type="num" val="0"/>
        <cfvo type="num" val="65"/>
        <cfvo type="num" val="100"/>
        <color rgb="FFF4B6B0"/>
        <color rgb="FFFFE08A"/>
        <color rgb="FFA9DCC3"/>
      </colorScale>
    </cfRule>
  </conditionalFormatting>
  <dataValidations count="1">
    <dataValidation type="whole" allowBlank="1" errorTitle="Score 1–5" error="Enter a whole number from 1 to 5" sqref="C12:F23">
      <formula1>1</formula1>
      <formula2>5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Complexity Card</vt:lpstr>
      <vt:lpstr>Feasibility Card</vt:lpstr>
      <vt:lpstr>Savings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2026-06-12T16:58:28Z</dcterms:created>
  <dcterms:modified xsi:type="dcterms:W3CDTF">2026-06-13T03:33:00Z</dcterms:modified>
  <dc:language>en-US</dc:language>
</cp:coreProperties>
</file>